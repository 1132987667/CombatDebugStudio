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5-workspace\code\CombatDebugStudio\documents\新需求\"/>
    </mc:Choice>
  </mc:AlternateContent>
  <bookViews>
    <workbookView windowHeight="17655" activeTab="3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<sst xmlns="http://schemas.openxmlformats.org/spreadsheetml/2006/main" count="1908" uniqueCount="878">
  <si>
    <t>B类属性</t>
  </si>
  <si>
    <t>系统</t>
  </si>
  <si>
    <t>A基础</t>
  </si>
  <si>
    <t>B输出</t>
  </si>
  <si>
    <t>C生存</t>
  </si>
  <si>
    <t>D对抗</t>
  </si>
  <si>
    <t>E五行</t>
  </si>
  <si>
    <t>F机制</t>
  </si>
  <si>
    <t>最终乘区</t>
  </si>
  <si>
    <t>属性</t>
  </si>
  <si>
    <t>主来源</t>
  </si>
  <si>
    <t>副来源</t>
  </si>
  <si>
    <t>不建议来源</t>
  </si>
  <si>
    <t>等级</t>
  </si>
  <si>
    <t>主要</t>
  </si>
  <si>
    <t>不提供</t>
  </si>
  <si>
    <t>暴击率</t>
  </si>
  <si>
    <t>武器、暴伤流派、攻伐天赋</t>
  </si>
  <si>
    <t>护腕、饰品</t>
  </si>
  <si>
    <t>等级、坐骑、甲胄</t>
  </si>
  <si>
    <t>装备</t>
  </si>
  <si>
    <t>少量</t>
  </si>
  <si>
    <t>暴击伤害</t>
  </si>
  <si>
    <t>饰品</t>
  </si>
  <si>
    <t>等级、坐骑、宠物</t>
  </si>
  <si>
    <t>流派树</t>
  </si>
  <si>
    <t>伤害提升%</t>
  </si>
  <si>
    <t>饰品、攻伐天赋</t>
  </si>
  <si>
    <t>流派终极节点</t>
  </si>
  <si>
    <t>等级、宠物、坐骑、甲胄</t>
  </si>
  <si>
    <t>宠物</t>
  </si>
  <si>
    <t>连击率</t>
  </si>
  <si>
    <t>连击流派、武器</t>
  </si>
  <si>
    <t>护腕、连击套装</t>
  </si>
  <si>
    <t>等级、坐骑、甲胄、守御天赋</t>
  </si>
  <si>
    <t>坐骑</t>
  </si>
  <si>
    <t>真实伤害率</t>
  </si>
  <si>
    <t>暴伤流派终极、攻伐天赋终极</t>
  </si>
  <si>
    <t>特殊武器</t>
  </si>
  <si>
    <t>天赋</t>
  </si>
  <si>
    <t>C类属性</t>
  </si>
  <si>
    <t>免伤率</t>
  </si>
  <si>
    <t>甲胄、守御天赋</t>
  </si>
  <si>
    <t>坐骑、不动流派</t>
  </si>
  <si>
    <t>武器、宠物</t>
  </si>
  <si>
    <t>气血值加成%</t>
  </si>
  <si>
    <t>武器、宠物、输出流派</t>
  </si>
  <si>
    <t>护盾强度</t>
  </si>
  <si>
    <t>不动流派、甲胄</t>
  </si>
  <si>
    <t>守御天赋、饰品</t>
  </si>
  <si>
    <t>宠物、坐骑主给、武器</t>
  </si>
  <si>
    <t>伤害反弹</t>
  </si>
  <si>
    <t>守御天赋</t>
  </si>
  <si>
    <t>宠物、坐骑、武器</t>
  </si>
  <si>
    <t>控制豁免</t>
  </si>
  <si>
    <t>坐骑、守御天赋</t>
  </si>
  <si>
    <t>甲胄</t>
  </si>
  <si>
    <t>武器、宠物、暴伤流派</t>
  </si>
  <si>
    <t>D类属性</t>
  </si>
  <si>
    <t>命中率</t>
  </si>
  <si>
    <t>护腕、机巧天赋</t>
  </si>
  <si>
    <t>连击流派、暴伤流派</t>
  </si>
  <si>
    <t>闪避率</t>
  </si>
  <si>
    <t>鞋子、闪避流派</t>
  </si>
  <si>
    <t>机巧天赋</t>
  </si>
  <si>
    <t>武器、甲胄</t>
  </si>
  <si>
    <t>暴击抵抗</t>
  </si>
  <si>
    <t>暴伤减免</t>
  </si>
  <si>
    <t>E类属性</t>
  </si>
  <si>
    <t>五行攻击%</t>
  </si>
  <si>
    <t>五行流派、宠物、武器/饰品</t>
  </si>
  <si>
    <t>五行天赋</t>
  </si>
  <si>
    <t>五行抗性%</t>
  </si>
  <si>
    <t>甲胄、五行天赋</t>
  </si>
  <si>
    <t>坐骑、饰品</t>
  </si>
  <si>
    <t>武器、宠物主给</t>
  </si>
  <si>
    <t>F类属性</t>
  </si>
  <si>
    <t>反击率</t>
  </si>
  <si>
    <t>武器、甲胄、宠物</t>
  </si>
  <si>
    <t>吸血率</t>
  </si>
  <si>
    <t>武器、饰品</t>
  </si>
  <si>
    <t>攻伐天赋、特定流派</t>
  </si>
  <si>
    <t>控制成功率</t>
  </si>
  <si>
    <t>护腕、五行流派、机巧天赋</t>
  </si>
  <si>
    <t>A</t>
  </si>
  <si>
    <t>层级</t>
  </si>
  <si>
    <t>基础-20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</si>
  <si>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</si>
  <si>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</si>
  <si>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</si>
  <si>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</si>
  <si>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</si>
  <si>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</si>
  <si>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</si>
  <si>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</si>
  <si>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</si>
  <si>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</si>
  <si>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</si>
  <si>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</si>
  <si>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</si>
  <si>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</si>
  <si>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</si>
  <si>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</si>
  <si>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</si>
  <si>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</si>
  <si>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</si>
  <si>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</si>
  <si>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</si>
  <si>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</si>
  <si>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</si>
  <si>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</si>
  <si>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</si>
  <si>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输出-14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</si>
  <si>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</si>
  <si>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</si>
  <si>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</si>
  <si>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</si>
  <si>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</si>
  <si>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</si>
  <si>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</si>
  <si>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</si>
  <si>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</si>
  <si>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</si>
  <si>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</si>
  <si>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</si>
  <si>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生存-7</t>
  </si>
  <si>
    <t>护盾</t>
  </si>
  <si>
    <t>气血回复(%)</t>
  </si>
  <si>
    <t>气血回复(固定)</t>
  </si>
  <si>
    <t>免伤系数</t>
  </si>
  <si>
    <t>最终伤害减免</t>
  </si>
  <si>
    <t>D</t>
  </si>
  <si>
    <t>对抗-10</t>
  </si>
  <si>
    <t>真伤抗性</t>
  </si>
  <si>
    <t>普攻抵抗</t>
  </si>
  <si>
    <t>技能抵抗</t>
  </si>
  <si>
    <t>效果抵抗</t>
  </si>
  <si>
    <t>E</t>
  </si>
  <si>
    <t>五行-2</t>
  </si>
  <si>
    <t>F</t>
  </si>
  <si>
    <t>机制-5</t>
  </si>
  <si>
    <t>效果命中</t>
  </si>
  <si>
    <t>初始能量</t>
  </si>
  <si>
    <t>能量获取效率</t>
  </si>
  <si>
    <t>G</t>
  </si>
  <si>
    <t>占位-1</t>
  </si>
  <si>
    <t>溅射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</si>
  <si>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</si>
  <si>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</si>
  <si>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</si>
  <si>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</si>
  <si>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</si>
  <si>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</si>
  <si>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</si>
  <si>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</si>
  <si>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</si>
  <si>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</si>
  <si>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</si>
  <si>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</si>
  <si>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等级段</t>
  </si>
  <si>
    <t>凡</t>
  </si>
  <si>
    <t>精</t>
  </si>
  <si>
    <t>超</t>
  </si>
  <si>
    <t>绝</t>
  </si>
  <si>
    <t>神</t>
  </si>
  <si>
    <t>数值类型</t>
  </si>
  <si>
    <t>说明</t>
  </si>
  <si>
    <t>总投放数值</t>
  </si>
  <si>
    <t>来源</t>
  </si>
  <si>
    <t>1 - 10</t>
  </si>
  <si>
    <t>数值</t>
  </si>
  <si>
    <t>角色生命值，归零即退场。</t>
  </si>
  <si>
    <t>11 - 20</t>
  </si>
  <si>
    <t>伤害计算基数，越高伤害越高。</t>
  </si>
  <si>
    <t>21 - 30</t>
  </si>
  <si>
    <t>抵扣受到的伤害，越高受伤越低。</t>
  </si>
  <si>
    <t>31 - 40</t>
  </si>
  <si>
    <t>攻击命中判定的基础值，对抗目标闪避值。</t>
  </si>
  <si>
    <t>41 - 50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</si>
  <si>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</si>
  <si>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</si>
  <si>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</si>
  <si>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</si>
  <si>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</si>
  <si>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—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</si>
  <si>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</si>
  <si>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</si>
  <si>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</si>
  <si>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</si>
  <si>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</si>
  <si>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</si>
  <si>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</si>
  <si>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主属性</t>
  </si>
  <si>
    <t>L2 可roll</t>
  </si>
  <si>
    <t>L3 可roll</t>
  </si>
  <si>
    <t>对攻击进行独立乘区放大。</t>
  </si>
  <si>
    <t>武器</t>
  </si>
  <si>
    <t>攻击/命中/速度加成</t>
  </si>
  <si>
    <t>气血/速度/闪避系数</t>
  </si>
  <si>
    <t>对防御进行独立乘区放大。</t>
  </si>
  <si>
    <t>衣服</t>
  </si>
  <si>
    <t>气血/防御/闪避加成</t>
  </si>
  <si>
    <t>防御/速度/闪避系数</t>
  </si>
  <si>
    <t>对命中进行独立乘区放大。</t>
  </si>
  <si>
    <t>头盔</t>
  </si>
  <si>
    <t>气血/防御/命中加成</t>
  </si>
  <si>
    <t>气血/命中/闪避系数</t>
  </si>
  <si>
    <t>对闪避进行独立乘区放大。</t>
  </si>
  <si>
    <t>鞋子</t>
  </si>
  <si>
    <t>防御/闪避/命中加成</t>
  </si>
  <si>
    <t>气血/防御/命中系数</t>
  </si>
  <si>
    <t>对速度进行独立乘区放大。</t>
  </si>
  <si>
    <t>护符</t>
  </si>
  <si>
    <t>气血/攻击/速度加成</t>
  </si>
  <si>
    <t>攻击/防御/速度系数</t>
  </si>
  <si>
    <t>最终层提高攻击，不被任何乘区稀释。</t>
  </si>
  <si>
    <t>流派-公共+24%</t>
  </si>
  <si>
    <t>戒指</t>
  </si>
  <si>
    <t>攻击/命中/气血系数</t>
  </si>
  <si>
    <t>最终层提高防御，不被任何乘区稀释</t>
  </si>
  <si>
    <t>触发暴击的概率。</t>
  </si>
  <si>
    <t>流派</t>
  </si>
  <si>
    <t>流派-公共+10%</t>
  </si>
  <si>
    <t>流派-破军+16%</t>
  </si>
  <si>
    <r>
      <t>凡、精品质装备</t>
    </r>
    <r>
      <rPr>
        <sz val="12"/>
        <color rgb="FF222222"/>
        <rFont val="Arial"/>
        <charset val="134"/>
      </rPr>
      <t>不可roll系数词条</t>
    </r>
    <r>
      <rPr>
        <sz val="12"/>
        <color rgb="FF222222"/>
        <rFont val="Arial"/>
        <charset val="134"/>
      </rPr>
      <t>（洗练池仅含L2加成）。</t>
    </r>
  </si>
  <si>
    <t>暴击时的伤害倍率，基础通常为150%。</t>
  </si>
  <si>
    <t>流派16</t>
  </si>
  <si>
    <r>
      <t>超/绝/神可roll，</t>
    </r>
    <r>
      <rPr>
        <sz val="12"/>
        <color rgb="FF222222"/>
        <rFont val="Arial"/>
        <charset val="134"/>
      </rPr>
      <t>最低值4%</t>
    </r>
    <r>
      <rPr>
        <sz val="12"/>
        <color rgb="FF222222"/>
        <rFont val="Arial"/>
        <charset val="134"/>
      </rPr>
      <t>。</t>
    </r>
  </si>
  <si>
    <t>攻击后追加额外攻击段的概率。</t>
  </si>
  <si>
    <t>同属性系数仍限2件，2×15% = 30% = 装备L3预算上限。</t>
  </si>
  <si>
    <t>将伤害基数的一定比例转化为无视防御的真实伤害。</t>
  </si>
  <si>
    <t>额外附加的固定真实伤害，不随倍率放大。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</si>
  <si>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</si>
  <si>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</si>
  <si>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</si>
  <si>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</si>
  <si>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</si>
  <si>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</si>
  <si>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</si>
  <si>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</si>
  <si>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</si>
  <si>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</si>
  <si>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</si>
  <si>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</si>
  <si>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</si>
  <si>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</si>
  <si>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每回合回复固定气血值。</t>
  </si>
  <si>
    <t>独立放大免伤效果。</t>
  </si>
  <si>
    <t>最终层减少受到的伤害。</t>
  </si>
  <si>
    <t>甲+10%+5%</t>
  </si>
  <si>
    <t>头+5%+5%</t>
  </si>
  <si>
    <t>鞋+5%+5%</t>
  </si>
  <si>
    <t>坐骑+10%</t>
  </si>
  <si>
    <t>直接提高最终命中概率，对抗目标闪避率。</t>
  </si>
  <si>
    <t>武器18%+12%</t>
  </si>
  <si>
    <t>戒指8%</t>
  </si>
  <si>
    <t>饰品8%</t>
  </si>
  <si>
    <t>宠物8%</t>
  </si>
  <si>
    <t>直接降低敌方对自己的最终命中概率。</t>
  </si>
  <si>
    <t>甲+8%+8%</t>
  </si>
  <si>
    <t>头+6%+6%</t>
  </si>
  <si>
    <t>鞋+10%+10%</t>
  </si>
  <si>
    <t>坐骑+12%</t>
  </si>
  <si>
    <t>降低敌方对自己的暴击率。</t>
  </si>
  <si>
    <t>降低敌方对自己的暴击伤害。</t>
  </si>
  <si>
    <t>甲+24%+12%</t>
  </si>
  <si>
    <t>头+8%+8%</t>
  </si>
  <si>
    <t>鞋+8%+8%</t>
  </si>
  <si>
    <t>减少受到的真实伤害。</t>
  </si>
  <si>
    <t>甲+12%+6%</t>
  </si>
  <si>
    <t>鞋+6%+6%</t>
  </si>
  <si>
    <t>减少受到的普攻伤害。</t>
  </si>
  <si>
    <t>减少受到的技能伤害。</t>
  </si>
  <si>
    <t>降低被敌方控制的概率。</t>
  </si>
  <si>
    <t>降低被敌方减益/异常状态命中的概率。</t>
  </si>
  <si>
    <t>反击率%</t>
  </si>
  <si>
    <t>被攻击后触发反击的概率。</t>
  </si>
  <si>
    <t>吸血率%</t>
  </si>
  <si>
    <t>造成伤害时按百分比转化为气血回复。</t>
  </si>
  <si>
    <t>效果命中%</t>
  </si>
  <si>
    <t>提高减益与异常状态的命中概率。</t>
  </si>
  <si>
    <t>武器16%+8%</t>
  </si>
  <si>
    <t>战斗开始时所拥有的能量值。</t>
  </si>
  <si>
    <t>能量获取效率%</t>
  </si>
  <si>
    <t>按百分比放大所有来源获得的能量。</t>
  </si>
  <si>
    <t>溅射%</t>
  </si>
  <si>
    <t>攻击主目标时对相邻目标造成的伤害比例。</t>
  </si>
  <si>
    <t>破甲%</t>
  </si>
  <si>
    <t>降低目标防御，可叠加层数。</t>
  </si>
  <si>
    <t>易伤%</t>
  </si>
  <si>
    <t>提高目标受到的伤害。</t>
  </si>
  <si>
    <t>护盾加成%</t>
  </si>
  <si>
    <t>放大所有来源提供的护盾值。</t>
  </si>
  <si>
    <t>盔甲24%+12%</t>
  </si>
  <si>
    <t>头盔+12%</t>
  </si>
  <si>
    <t>流派+20%</t>
  </si>
  <si>
    <t>护盾削减%</t>
  </si>
  <si>
    <t>降低目标获得的护盾值。</t>
  </si>
  <si>
    <t>反伤加成%</t>
  </si>
  <si>
    <t>放大反弹伤害的数值。</t>
  </si>
  <si>
    <t>反伤削减%</t>
  </si>
  <si>
    <t>降低目标反弹伤害的数值。</t>
  </si>
  <si>
    <t>武器12%+6%</t>
  </si>
  <si>
    <t>戒指6%</t>
  </si>
  <si>
    <t>饰品6%</t>
  </si>
  <si>
    <t>宠物6%</t>
  </si>
  <si>
    <t>吸血加成%</t>
  </si>
  <si>
    <t>放大吸血回复量。</t>
  </si>
  <si>
    <t>吸血削减%</t>
  </si>
  <si>
    <t>降低目标吸血的回复量。</t>
  </si>
  <si>
    <t>治疗加成%</t>
  </si>
  <si>
    <t>放大提供的治疗效果。</t>
  </si>
  <si>
    <t>流派30%</t>
  </si>
  <si>
    <t>治疗削减%</t>
  </si>
  <si>
    <t>降低目标受到的治疗效果。</t>
  </si>
  <si>
    <t>流派10%</t>
  </si>
  <si>
    <t>将一定比例伤害转化为对应五行属性伤害。</t>
  </si>
  <si>
    <t>减少受到的对应五行属性伤害。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</si>
  <si>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</si>
  <si>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</si>
  <si>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</si>
  <si>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</si>
  <si>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</si>
  <si>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</si>
  <si>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</si>
  <si>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</si>
  <si>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</si>
  <si>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</si>
  <si>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</si>
  <si>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</si>
  <si>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</si>
  <si>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</si>
  <si>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</si>
  <si>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</si>
  <si>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</si>
  <si>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</si>
  <si>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</si>
  <si>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</si>
  <si>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</si>
  <si>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</si>
  <si>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FINAL</t>
  </si>
  <si>
    <t>+10%最终攻击</t>
  </si>
  <si>
    <t>总属性点</t>
  </si>
  <si>
    <t>权重</t>
  </si>
  <si>
    <t>占比</t>
  </si>
  <si>
    <t>提供属性</t>
  </si>
  <si>
    <t>属性A</t>
  </si>
  <si>
    <t>属性A B C D E F + 属性增幅</t>
  </si>
  <si>
    <t>技能 + 特性 + 属性增幅</t>
  </si>
  <si>
    <t>属性A B C D E F + 独立乘区</t>
  </si>
  <si>
    <t>属性 B C D E F + 最终乘区 + 特性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</si>
  <si>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</si>
  <si>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</si>
  <si>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</si>
  <si>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</si>
  <si>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</si>
  <si>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</si>
  <si>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</si>
  <si>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</si>
  <si>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</si>
  <si>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</si>
  <si>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</si>
  <si>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</si>
  <si>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</si>
  <si>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</si>
  <si>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</si>
  <si>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</si>
  <si>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</si>
  <si>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</si>
  <si>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</si>
  <si>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</si>
  <si>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</si>
  <si>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大类</t>
  </si>
  <si>
    <t>分类</t>
  </si>
  <si>
    <t>剑</t>
  </si>
  <si>
    <t>棍</t>
  </si>
  <si>
    <t>锤</t>
  </si>
  <si>
    <t>布甲</t>
  </si>
  <si>
    <t>皮甲</t>
  </si>
  <si>
    <t>盔甲</t>
  </si>
  <si>
    <t>面</t>
  </si>
  <si>
    <t>冠</t>
  </si>
  <si>
    <t>靴子</t>
  </si>
  <si>
    <t>布靴</t>
  </si>
  <si>
    <t>皮靴</t>
  </si>
  <si>
    <t>战靴</t>
  </si>
  <si>
    <t>品阶</t>
  </si>
  <si>
    <t>强化上限</t>
  </si>
  <si>
    <t>品质</t>
  </si>
  <si>
    <t>词条数量</t>
  </si>
  <si>
    <t>词条</t>
  </si>
  <si>
    <t>凡品</t>
  </si>
  <si>
    <t>主要属性</t>
  </si>
  <si>
    <t>附加属性</t>
  </si>
  <si>
    <t>玄品</t>
  </si>
  <si>
    <t>连击率%</t>
  </si>
  <si>
    <t>真伤</t>
  </si>
  <si>
    <t>地品</t>
  </si>
  <si>
    <t>免伤</t>
  </si>
  <si>
    <t>天品</t>
  </si>
  <si>
    <t>暴击率，暴伤</t>
  </si>
  <si>
    <t>仙品</t>
  </si>
  <si>
    <t>基础属性</t>
  </si>
  <si>
    <t>生存对抗</t>
  </si>
  <si>
    <t>机制功能</t>
  </si>
  <si>
    <t>独立系数</t>
  </si>
  <si>
    <t>名称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</si>
  <si>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</si>
  <si>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</si>
  <si>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</si>
  <si>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</si>
  <si>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</si>
  <si>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</si>
  <si>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</si>
  <si>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</si>
  <si>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</si>
  <si>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</si>
  <si>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</si>
  <si>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</si>
  <si>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</si>
  <si>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</si>
  <si>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</si>
  <si>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</si>
  <si>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</si>
  <si>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</si>
  <si>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</si>
  <si>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</si>
  <si>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</si>
  <si>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</si>
  <si>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</si>
  <si>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</si>
  <si>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</si>
  <si>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</si>
  <si>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</si>
  <si>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</si>
  <si>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</si>
  <si>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</si>
  <si>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</si>
  <si>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</si>
  <si>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</si>
  <si>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</si>
  <si>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斩杀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</si>
  <si>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</si>
  <si>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</si>
  <si>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</si>
  <si>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</si>
  <si>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</si>
  <si>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</si>
  <si>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</si>
  <si>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</si>
  <si>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会心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</si>
  <si>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</si>
  <si>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</si>
  <si>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</si>
  <si>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</si>
  <si>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</si>
  <si>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</si>
  <si>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</si>
  <si>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</si>
  <si>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</si>
  <si>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</si>
  <si>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</si>
  <si>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</si>
  <si>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</si>
  <si>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</si>
  <si>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</si>
  <si>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</si>
  <si>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反伤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</si>
  <si>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</si>
  <si>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</si>
  <si>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</si>
  <si>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</si>
  <si>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</si>
  <si>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</si>
  <si>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</si>
  <si>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</si>
  <si>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</si>
  <si>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</si>
  <si>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</si>
  <si>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</si>
  <si>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</si>
  <si>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</si>
  <si>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</si>
  <si>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</si>
  <si>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</si>
  <si>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</si>
  <si>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</si>
  <si>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</si>
  <si>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</si>
  <si>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</si>
  <si>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</si>
  <si>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</si>
  <si>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</si>
  <si>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</si>
  <si>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</si>
  <si>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</si>
  <si>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</si>
  <si>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</si>
  <si>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</si>
  <si>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</si>
  <si>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</si>
  <si>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</si>
  <si>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</si>
  <si>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</si>
  <si>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</si>
  <si>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</si>
  <si>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</si>
  <si>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</si>
  <si>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</si>
  <si>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</si>
  <si>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</si>
  <si>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</si>
  <si>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</si>
  <si>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</si>
  <si>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</si>
  <si>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</si>
  <si>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</si>
  <si>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</si>
  <si>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</si>
  <si>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</si>
  <si>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</si>
  <si>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</si>
  <si>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</si>
  <si>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</si>
  <si>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</si>
  <si>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</si>
  <si>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</si>
  <si>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</si>
  <si>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</si>
  <si>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</si>
  <si>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吸血效果加成%</t>
  </si>
  <si>
    <t>护盾系数</t>
  </si>
  <si>
    <t>单次受伤≤25%最大气血；反伤无视防御</t>
  </si>
  <si>
    <t>2 + 2</t>
  </si>
  <si>
    <t>荆棘</t>
  </si>
  <si>
    <t>有盾时反弹+10%(结算受60%上限约束)</t>
  </si>
  <si>
    <t>192 + 384</t>
  </si>
  <si>
    <t>24 + 48</t>
  </si>
  <si>
    <t>10 + 20</t>
  </si>
  <si>
    <t>8 + 16</t>
  </si>
  <si>
    <t>厚土</t>
  </si>
  <si>
    <t>护盾值+20%</t>
  </si>
  <si>
    <t>山震</t>
  </si>
  <si>
    <t>受击后攻击者速度-10(2回合，上限2层)</t>
  </si>
  <si>
    <t>第八层</t>
  </si>
  <si>
    <t>治疗系数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</si>
  <si>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</si>
  <si>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</si>
  <si>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</si>
  <si>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</si>
  <si>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</si>
  <si>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</si>
  <si>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</si>
  <si>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</si>
  <si>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</si>
  <si>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</si>
  <si>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</si>
  <si>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</si>
  <si>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</si>
  <si>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</si>
  <si>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</si>
  <si>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</si>
  <si>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</si>
  <si>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</si>
  <si>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</si>
  <si>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</si>
  <si>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</si>
  <si>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</si>
  <si>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</si>
  <si>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</si>
  <si>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</si>
  <si>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</si>
  <si>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</si>
  <si>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</si>
  <si>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</si>
  <si>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</si>
  <si>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</si>
  <si>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</si>
  <si>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</si>
  <si>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</si>
  <si>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</si>
  <si>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</si>
  <si>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</si>
  <si>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</si>
  <si>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</si>
  <si>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</si>
  <si>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</si>
  <si>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</si>
  <si>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</si>
  <si>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</si>
  <si>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</si>
  <si>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</si>
  <si>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</si>
  <si>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</si>
  <si>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</si>
  <si>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</si>
  <si>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</si>
  <si>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</si>
  <si>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不屈</t>
  </si>
  <si>
    <t>净化debuff，免伤+25%(2回合)</t>
  </si>
  <si>
    <t>闪避流 → 克制 → 暴伤流   (高闪避使暴击判定落空，迷踪压命中)</t>
  </si>
  <si>
    <t>地脉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</si>
  <si>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</si>
  <si>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</si>
  <si>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</si>
  <si>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</si>
  <si>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</si>
  <si>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</si>
  <si>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</si>
  <si>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</si>
  <si>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</si>
  <si>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</si>
  <si>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</si>
  <si>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</si>
  <si>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</si>
  <si>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</si>
  <si>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</si>
  <si>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</si>
  <si>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</si>
  <si>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</si>
  <si>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</si>
  <si>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</si>
  <si>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</si>
  <si>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</si>
  <si>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</si>
  <si>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</si>
  <si>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</si>
  <si>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</si>
  <si>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</si>
  <si>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</si>
  <si>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</si>
  <si>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</si>
  <si>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</si>
  <si>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</si>
  <si>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</si>
  <si>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</si>
  <si>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</si>
  <si>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</si>
  <si>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</si>
  <si>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</si>
  <si>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</si>
  <si>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</si>
  <si>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</si>
  <si>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</si>
  <si>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</si>
  <si>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</si>
  <si>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</si>
  <si>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</si>
  <si>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</si>
  <si>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</si>
  <si>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</si>
  <si>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</si>
  <si>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</si>
  <si>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</si>
  <si>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</si>
  <si>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</si>
  <si>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</si>
  <si>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</si>
  <si>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</si>
  <si>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</si>
  <si>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</si>
  <si>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</si>
  <si>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</si>
  <si>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</si>
  <si>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</si>
  <si>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</si>
  <si>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</si>
  <si>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</si>
  <si>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</si>
  <si>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</si>
  <si>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</si>
  <si>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</si>
  <si>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</si>
  <si>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</si>
  <si>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</si>
  <si>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</si>
  <si>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</si>
  <si>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</si>
  <si>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</si>
  <si>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</si>
  <si>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</si>
  <si>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</si>
  <si>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</si>
  <si>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</si>
  <si>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</si>
  <si>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</si>
  <si>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</si>
  <si>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</si>
  <si>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</si>
  <si>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</si>
  <si>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</si>
  <si>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</si>
  <si>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</si>
  <si>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</si>
  <si>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</si>
  <si>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</si>
  <si>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</si>
  <si>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</si>
  <si>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</si>
  <si>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</si>
  <si>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</si>
  <si>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</si>
  <si>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</si>
  <si>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</si>
  <si>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</si>
  <si>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</si>
  <si>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</si>
  <si>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</si>
  <si>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</si>
  <si>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</si>
  <si>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</si>
  <si>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</si>
  <si>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</si>
  <si>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</si>
  <si>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</si>
  <si>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</si>
  <si>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</si>
  <si>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</si>
  <si>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</si>
  <si>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</si>
  <si>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</si>
  <si>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</si>
  <si>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</si>
  <si>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</si>
  <si>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</si>
  <si>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</si>
  <si>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</si>
  <si>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</si>
  <si>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</si>
  <si>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</si>
  <si>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</si>
  <si>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战意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</si>
  <si>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</si>
  <si>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</si>
  <si>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</si>
  <si>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</si>
  <si>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</si>
  <si>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</si>
  <si>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</si>
  <si>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</si>
  <si>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</si>
  <si>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</si>
  <si>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</si>
  <si>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</si>
  <si>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</si>
  <si>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</si>
  <si>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</si>
  <si>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</si>
  <si>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</si>
  <si>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</si>
  <si>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</si>
  <si>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</si>
  <si>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</si>
  <si>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</si>
  <si>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</si>
  <si>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</si>
  <si>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宠物属性收窄</t>
  </si>
  <si>
    <t>宠物偏五行、异常、输出条件。</t>
  </si>
  <si>
    <t>坐骑属性收窄</t>
  </si>
  <si>
    <t>坐骑偏速度、生存、对抗、韧性。</t>
  </si>
  <si>
    <t>宠物属性类别</t>
  </si>
  <si>
    <t>是否推荐</t>
  </si>
  <si>
    <t>坐骑属性类别</t>
  </si>
  <si>
    <t>少量A基础属性</t>
  </si>
  <si>
    <t>推荐</t>
  </si>
  <si>
    <t>作为宠物等级成长</t>
  </si>
  <si>
    <t>强烈推荐</t>
  </si>
  <si>
    <t>坐骑核心</t>
  </si>
  <si>
    <t>宠物核心</t>
  </si>
  <si>
    <t>用于异常触发</t>
  </si>
  <si>
    <t>坐骑可承担生存</t>
  </si>
  <si>
    <t>独立条件乘区</t>
  </si>
  <si>
    <t>宠物核心差异</t>
  </si>
  <si>
    <t>坐骑可承担对抗</t>
  </si>
  <si>
    <t>暴击率/暴伤</t>
  </si>
  <si>
    <t>不推荐</t>
  </si>
  <si>
    <t>会污染输出属性来源</t>
  </si>
  <si>
    <t>应留给饰品和天赋</t>
  </si>
  <si>
    <t>适合敏型坐骑</t>
  </si>
  <si>
    <t>免伤/护盾/反伤</t>
  </si>
  <si>
    <t>只适合特定守护型宠物</t>
  </si>
  <si>
    <t>适合战马类坐骑</t>
  </si>
  <si>
    <t>反击率/吸血率</t>
  </si>
  <si>
    <t>应留给鞋子和武器</t>
  </si>
  <si>
    <t>避免坐骑抢输出系统职责</t>
  </si>
  <si>
    <t>留给饰品和天赋</t>
  </si>
  <si>
    <t>留给宠物和五行系统</t>
  </si>
  <si>
    <t>推荐属性</t>
  </si>
  <si>
    <t>疾风马</t>
  </si>
  <si>
    <t>速度、闪避率、速度高于目标时闪避+5%</t>
  </si>
  <si>
    <t>火鸦</t>
  </si>
  <si>
    <t>火属性攻击%、灼烧触发率、攻击灼烧目标独立+8%</t>
  </si>
  <si>
    <t>玄龟</t>
  </si>
  <si>
    <t>气血、免伤率、护盾存在时免伤独立+6%</t>
  </si>
  <si>
    <t>水蛟</t>
  </si>
  <si>
    <t>水属性攻击%、迟缓触发率、对低速目标独立+8%</t>
  </si>
  <si>
    <t>战虎</t>
  </si>
  <si>
    <t>速度、反击率、被攻击后反击率+8%</t>
  </si>
  <si>
    <t>金猊</t>
  </si>
  <si>
    <t>金属性攻击%、破甲触发率、对高防目标独立+10%</t>
  </si>
  <si>
    <t>白象</t>
  </si>
  <si>
    <t>控制豁免、暴击抵抗、受控制后获得1回合减伤</t>
  </si>
  <si>
    <t>木灵</t>
  </si>
  <si>
    <t>木属性攻击%、禁疗触发率、对回复目标独立+8%</t>
  </si>
  <si>
    <t>火麒麟</t>
  </si>
  <si>
    <t>少量速度、火属性抗性、对灼烧目标独立减伤</t>
  </si>
  <si>
    <t>土熊</t>
  </si>
  <si>
    <t>土属性攻击%、护盾存在时免伤独立+6%</t>
  </si>
  <si>
    <t>成长</t>
  </si>
  <si>
    <t>初生期</t>
  </si>
  <si>
    <t>少量A类属性</t>
  </si>
  <si>
    <t>幼年期</t>
  </si>
  <si>
    <t>成长期</t>
  </si>
  <si>
    <t>成熟期</t>
  </si>
  <si>
    <t>完全体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</si>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</sst>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</numFmts>
  <fonts count="2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sz val="10.5"/>
      <color rgb="FF222222"/>
      <name val="Arial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9" fontId="0" fillId="0" borderId="0" xfId="0" applyNumberFormat="1">
      <alignment vertical="center"/>
    </xf>
    <xf numFmtId="0" fontId="3" fillId="0" borderId="0" xfId="0" applyFon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6:Z63"/>
  <sheetViews>
    <sheetView topLeftCell="A18" workbookViewId="0">
      <selection activeCell="H32" sqref="H32:M64"/>
    </sheetView>
  </sheetViews>
  <sheetFormatPr defaultColWidth="9" defaultRowHeight="13.5"/>
  <cols>
    <col min="8" max="8" width="16.6666666666667" customWidth="1"/>
    <col min="9" max="9" width="31.1083333333333" customWidth="1"/>
    <col min="10" max="13" width="16.6666666666667" customWidth="1"/>
  </cols>
  <sheetData>
    <row r="16" spans="4:4">
      <c r="D16" s="18"/>
    </row>
    <row r="31" spans="8:26">
      <c r="H31" s="2" t="s">
        <v>0</v>
      </c>
      <c r="I31" s="2"/>
      <c r="J31" s="2"/>
      <c r="K31" s="2"/>
      <c r="L31" s="2"/>
      <c r="M31" s="2"/>
      <c r="S31" t="s">
        <v>1</v>
      </c>
      <c r="T31" t="s">
        <v>2</v>
      </c>
      <c r="U31" t="s">
        <v>3</v>
      </c>
      <c r="V31" t="s">
        <v>4</v>
      </c>
      <c r="W31" t="s">
        <v>5</v>
      </c>
      <c r="X31" t="s">
        <v>6</v>
      </c>
      <c r="Y31" t="s">
        <v>7</v>
      </c>
      <c r="Z31" t="s">
        <v>8</v>
      </c>
    </row>
    <row r="32" spans="8:26">
      <c r="H32" s="19" t="s">
        <v>9</v>
      </c>
      <c r="I32" s="19" t="s">
        <v>10</v>
      </c>
      <c r="J32" s="19" t="s">
        <v>11</v>
      </c>
      <c r="K32" s="19" t="s">
        <v>12</v>
      </c>
      <c r="L32" s="19"/>
      <c r="S32" t="s">
        <v>13</v>
      </c>
      <c r="T32" t="s">
        <v>14</v>
      </c>
      <c r="U32" t="s">
        <v>15</v>
      </c>
      <c r="V32" t="s">
        <v>15</v>
      </c>
      <c r="W32" t="s">
        <v>15</v>
      </c>
      <c r="X32" t="s">
        <v>15</v>
      </c>
      <c r="Y32" t="s">
        <v>15</v>
      </c>
      <c r="Z32" t="s">
        <v>15</v>
      </c>
    </row>
    <row r="33" spans="8:26">
      <c r="H33" t="s">
        <v>16</v>
      </c>
      <c r="I33" t="s">
        <v>17</v>
      </c>
      <c r="J33" t="s">
        <v>18</v>
      </c>
      <c r="K33" t="s">
        <v>19</v>
      </c>
      <c r="S33" t="s">
        <v>20</v>
      </c>
      <c r="T33" t="s">
        <v>14</v>
      </c>
      <c r="U33" t="s">
        <v>21</v>
      </c>
      <c r="V33" t="s">
        <v>21</v>
      </c>
      <c r="W33" t="s">
        <v>14</v>
      </c>
      <c r="X33" t="s">
        <v>21</v>
      </c>
      <c r="Y33" t="s">
        <v>21</v>
      </c>
      <c r="Z33" t="s">
        <v>15</v>
      </c>
    </row>
    <row r="34" spans="8:26">
      <c r="H34" t="s">
        <v>22</v>
      </c>
      <c r="I34" t="s">
        <v>17</v>
      </c>
      <c r="J34" t="s">
        <v>23</v>
      </c>
      <c r="K34" t="s">
        <v>24</v>
      </c>
      <c r="S34" t="s">
        <v>25</v>
      </c>
      <c r="T34" t="s">
        <v>21</v>
      </c>
      <c r="U34" t="s">
        <v>14</v>
      </c>
      <c r="V34" t="s">
        <v>14</v>
      </c>
      <c r="W34" t="s">
        <v>21</v>
      </c>
      <c r="X34" t="s">
        <v>21</v>
      </c>
      <c r="Y34" t="s">
        <v>14</v>
      </c>
      <c r="Z34" t="s">
        <v>15</v>
      </c>
    </row>
    <row r="35" spans="8:26">
      <c r="H35" t="s">
        <v>26</v>
      </c>
      <c r="I35" t="s">
        <v>27</v>
      </c>
      <c r="J35" t="s">
        <v>28</v>
      </c>
      <c r="K35" t="s">
        <v>29</v>
      </c>
      <c r="S35" t="s">
        <v>30</v>
      </c>
      <c r="T35" t="s">
        <v>21</v>
      </c>
      <c r="U35" t="s">
        <v>15</v>
      </c>
      <c r="V35" t="s">
        <v>21</v>
      </c>
      <c r="W35" t="s">
        <v>15</v>
      </c>
      <c r="X35" t="s">
        <v>14</v>
      </c>
      <c r="Y35" t="s">
        <v>21</v>
      </c>
      <c r="Z35" t="s">
        <v>15</v>
      </c>
    </row>
    <row r="36" spans="8:26">
      <c r="H36" t="s">
        <v>31</v>
      </c>
      <c r="I36" t="s">
        <v>32</v>
      </c>
      <c r="J36" t="s">
        <v>33</v>
      </c>
      <c r="K36" t="s">
        <v>34</v>
      </c>
      <c r="S36" t="s">
        <v>35</v>
      </c>
      <c r="T36" t="s">
        <v>21</v>
      </c>
      <c r="U36" t="s">
        <v>15</v>
      </c>
      <c r="V36" t="s">
        <v>14</v>
      </c>
      <c r="W36" t="s">
        <v>14</v>
      </c>
      <c r="X36" t="s">
        <v>21</v>
      </c>
      <c r="Y36" t="s">
        <v>21</v>
      </c>
      <c r="Z36" t="s">
        <v>15</v>
      </c>
    </row>
    <row r="37" spans="8:26">
      <c r="H37" t="s">
        <v>36</v>
      </c>
      <c r="I37" t="s">
        <v>37</v>
      </c>
      <c r="J37" t="s">
        <v>38</v>
      </c>
      <c r="K37" t="s">
        <v>29</v>
      </c>
      <c r="S37" t="s">
        <v>39</v>
      </c>
      <c r="T37" t="s">
        <v>15</v>
      </c>
      <c r="U37" t="s">
        <v>14</v>
      </c>
      <c r="V37" t="s">
        <v>14</v>
      </c>
      <c r="W37" t="s">
        <v>14</v>
      </c>
      <c r="X37" t="s">
        <v>14</v>
      </c>
      <c r="Y37" t="s">
        <v>14</v>
      </c>
      <c r="Z37" t="s">
        <v>14</v>
      </c>
    </row>
    <row r="39" spans="8:26">
      <c r="H39" s="2" t="s">
        <v>40</v>
      </c>
      <c r="I39" s="2"/>
      <c r="J39" s="2"/>
      <c r="K39" s="2"/>
      <c r="L39" s="2"/>
      <c r="M39" s="2"/>
    </row>
    <row r="40" spans="8:26">
      <c r="H40" s="19" t="s">
        <v>9</v>
      </c>
      <c r="I40" s="19" t="s">
        <v>10</v>
      </c>
      <c r="J40" s="19" t="s">
        <v>11</v>
      </c>
      <c r="K40" s="19" t="s">
        <v>12</v>
      </c>
      <c r="L40" s="19"/>
    </row>
    <row r="41" spans="8:26">
      <c r="H41" t="s">
        <v>41</v>
      </c>
      <c r="I41" t="s">
        <v>42</v>
      </c>
      <c r="J41" t="s">
        <v>43</v>
      </c>
      <c r="K41" t="s">
        <v>44</v>
      </c>
    </row>
    <row r="42" spans="8:26">
      <c r="H42" t="s">
        <v>45</v>
      </c>
      <c r="I42" t="s">
        <v>42</v>
      </c>
      <c r="J42" t="s">
        <v>35</v>
      </c>
      <c r="K42" t="s">
        <v>46</v>
      </c>
    </row>
    <row r="43" spans="8:26">
      <c r="H43" t="s">
        <v>47</v>
      </c>
      <c r="I43" t="s">
        <v>48</v>
      </c>
      <c r="J43" t="s">
        <v>49</v>
      </c>
      <c r="K43" t="s">
        <v>50</v>
      </c>
    </row>
    <row r="44" spans="8:26">
      <c r="H44" t="s">
        <v>51</v>
      </c>
      <c r="I44" t="s">
        <v>48</v>
      </c>
      <c r="J44" t="s">
        <v>52</v>
      </c>
      <c r="K44" t="s">
        <v>53</v>
      </c>
    </row>
    <row r="45" spans="8:26">
      <c r="H45" t="s">
        <v>54</v>
      </c>
      <c r="I45" t="s">
        <v>55</v>
      </c>
      <c r="J45" t="s">
        <v>56</v>
      </c>
      <c r="K45" t="s">
        <v>57</v>
      </c>
    </row>
    <row r="47" spans="8:26">
      <c r="H47" s="2" t="s">
        <v>58</v>
      </c>
      <c r="I47" s="2"/>
      <c r="J47" s="2"/>
      <c r="K47" s="2"/>
      <c r="L47" s="2"/>
      <c r="M47" s="2"/>
    </row>
    <row r="48" spans="8:26">
      <c r="H48" s="19" t="s">
        <v>9</v>
      </c>
      <c r="I48" s="19" t="s">
        <v>10</v>
      </c>
      <c r="J48" s="19" t="s">
        <v>11</v>
      </c>
      <c r="K48" s="19" t="s">
        <v>12</v>
      </c>
      <c r="L48" s="19"/>
    </row>
    <row r="49" spans="8:13">
      <c r="H49" t="s">
        <v>59</v>
      </c>
      <c r="I49" t="s">
        <v>60</v>
      </c>
      <c r="J49" t="s">
        <v>61</v>
      </c>
      <c r="K49" t="s">
        <v>19</v>
      </c>
    </row>
    <row r="50" spans="8:13">
      <c r="H50" t="s">
        <v>62</v>
      </c>
      <c r="I50" t="s">
        <v>63</v>
      </c>
      <c r="J50" t="s">
        <v>64</v>
      </c>
      <c r="K50" t="s">
        <v>65</v>
      </c>
    </row>
    <row r="51" spans="8:13">
      <c r="H51" t="s">
        <v>66</v>
      </c>
      <c r="I51" t="s">
        <v>42</v>
      </c>
      <c r="J51" t="s">
        <v>35</v>
      </c>
      <c r="K51" t="s">
        <v>57</v>
      </c>
    </row>
    <row r="52" spans="8:13">
      <c r="H52" t="s">
        <v>67</v>
      </c>
      <c r="I52" t="s">
        <v>42</v>
      </c>
      <c r="J52" t="s">
        <v>35</v>
      </c>
      <c r="K52" t="s">
        <v>57</v>
      </c>
    </row>
    <row r="54" spans="8:13">
      <c r="H54" s="2" t="s">
        <v>68</v>
      </c>
      <c r="I54" s="2"/>
      <c r="J54" s="2"/>
      <c r="K54" s="2"/>
      <c r="L54" s="2"/>
      <c r="M54" s="2"/>
    </row>
    <row r="55" spans="8:13">
      <c r="H55" s="19" t="s">
        <v>9</v>
      </c>
      <c r="I55" s="19" t="s">
        <v>10</v>
      </c>
      <c r="J55" s="19" t="s">
        <v>11</v>
      </c>
      <c r="K55" s="19" t="s">
        <v>12</v>
      </c>
      <c r="L55" s="19"/>
    </row>
    <row r="56" spans="8:13">
      <c r="H56" t="s">
        <v>69</v>
      </c>
      <c r="I56" t="s">
        <v>70</v>
      </c>
      <c r="J56" t="s">
        <v>71</v>
      </c>
      <c r="K56" t="s">
        <v>19</v>
      </c>
    </row>
    <row r="57" spans="8:13">
      <c r="H57" t="s">
        <v>72</v>
      </c>
      <c r="I57" t="s">
        <v>73</v>
      </c>
      <c r="J57" t="s">
        <v>74</v>
      </c>
      <c r="K57" t="s">
        <v>75</v>
      </c>
    </row>
    <row r="59" spans="8:13">
      <c r="H59" s="2" t="s">
        <v>76</v>
      </c>
      <c r="I59" s="2"/>
      <c r="J59" s="2"/>
      <c r="K59" s="2"/>
      <c r="L59" s="2"/>
      <c r="M59" s="2"/>
    </row>
    <row r="60" spans="8:13">
      <c r="H60" s="19" t="s">
        <v>9</v>
      </c>
      <c r="I60" s="19" t="s">
        <v>10</v>
      </c>
      <c r="J60" s="19" t="s">
        <v>11</v>
      </c>
      <c r="K60" s="19" t="s">
        <v>12</v>
      </c>
    </row>
    <row r="61" spans="8:13">
      <c r="H61" t="s">
        <v>77</v>
      </c>
      <c r="I61" t="s">
        <v>63</v>
      </c>
      <c r="J61" t="s">
        <v>35</v>
      </c>
      <c r="K61" t="s">
        <v>78</v>
      </c>
    </row>
    <row r="62" spans="8:13">
      <c r="H62" t="s">
        <v>79</v>
      </c>
      <c r="I62" t="s">
        <v>80</v>
      </c>
      <c r="J62" t="s">
        <v>81</v>
      </c>
      <c r="K62" t="s">
        <v>19</v>
      </c>
    </row>
    <row r="63" spans="8:13">
      <c r="H63" t="s">
        <v>82</v>
      </c>
      <c r="I63" t="s">
        <v>83</v>
      </c>
      <c r="J63" t="s">
        <v>30</v>
      </c>
      <c r="K63" t="s">
        <v>19</v>
      </c>
    </row>
  </sheetData>
  <mergeCells count="5">
    <mergeCell ref="H31:M31"/>
    <mergeCell ref="H39:M39"/>
    <mergeCell ref="H47:M47"/>
    <mergeCell ref="H54:M54"/>
    <mergeCell ref="H59:M59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117"/>
  <sheetViews>
    <sheetView workbookViewId="0">
      <selection activeCell="U51" sqref="U51"/>
    </sheetView>
  </sheetViews>
  <sheetFormatPr defaultColWidth="9" defaultRowHeight="13.5"/>
  <cols>
    <col min="1" max="1" width="15.775" customWidth="1"/>
    <col min="3" max="3" width="40.8833333333333" customWidth="1"/>
    <col min="4" max="4" width="12.8833333333333" customWidth="1"/>
    <col min="5" max="5" width="10.6666666666667" customWidth="1"/>
    <col min="9" max="9" width="12.6666666666667"/>
    <col min="10" max="11" width="14.625" customWidth="1"/>
    <col min="12" max="16" width="10.6666666666667" customWidth="1"/>
  </cols>
  <sheetData>
    <row r="2" spans="1:15">
      <c r="A2" s="2" t="s">
        <v>84</v>
      </c>
      <c r="B2" s="2" t="s">
        <v>85</v>
      </c>
      <c r="C2" s="2" t="s">
        <v>9</v>
      </c>
      <c r="D2" s="2"/>
      <c r="E2" s="2"/>
      <c r="F2" s="2"/>
      <c r="G2" s="2"/>
      <c r="H2" s="2"/>
    </row>
    <row r="3" spans="1:15">
      <c r="A3" s="2" t="s">
        <v>86</v>
      </c>
      <c r="B3" s="2" t="s">
        <v>87</v>
      </c>
      <c r="C3" t="s">
        <v>88</v>
      </c>
      <c r="D3" t="s">
        <v>89</v>
      </c>
      <c r="E3" t="s">
        <v>90</v>
      </c>
      <c r="F3" t="s">
        <v>91</v>
      </c>
      <c r="G3" t="s">
        <v>92</v>
      </c>
      <c r="H3" t="s">
        <v>93</v>
      </c>
      <c r="J3" s="17"/>
    </row>
    <row r="4" spans="1:15">
      <c r="A4" s="2"/>
      <c r="B4" s="2" t="s">
        <v>94</v>
      </c>
      <c r="C4" t="s">
        <v>95</v>
      </c>
      <c r="D4" t="s">
        <v>96</v>
      </c>
      <c r="E4" t="s">
        <v>97</v>
      </c>
      <c r="F4" t="s">
        <v>98</v>
      </c>
      <c r="G4" t="s">
        <v>99</v>
      </c>
      <c r="H4" t="s">
        <v>100</v>
      </c>
      <c r="J4" s="17"/>
    </row>
    <row r="5" spans="1:15">
      <c r="A5" s="2"/>
      <c r="B5" s="2" t="s">
        <v>101</v>
      </c>
      <c r="C5" t="s">
        <v>102</v>
      </c>
      <c r="D5" t="s">
        <v>103</v>
      </c>
      <c r="E5" t="s">
        <v>104</v>
      </c>
      <c r="F5" t="s">
        <v>105</v>
      </c>
      <c r="G5" t="s">
        <v>106</v>
      </c>
      <c r="H5" t="s">
        <v>107</v>
      </c>
      <c r="J5" s="17"/>
    </row>
    <row r="6" spans="1:15">
      <c r="A6" s="2"/>
      <c r="B6" s="2" t="s">
        <v>108</v>
      </c>
      <c r="C6" t="s">
        <v>109</v>
      </c>
      <c r="D6" t="s">
        <v>110</v>
      </c>
      <c r="J6" s="17"/>
    </row>
    <row r="7" spans="1:15">
      <c r="A7" s="2"/>
      <c r="B7" s="2"/>
      <c r="J7" s="17"/>
    </row>
    <row r="8" spans="1:15">
      <c r="A8" s="2" t="s">
        <v>111</v>
      </c>
      <c r="B8" s="2" t="s">
        <v>85</v>
      </c>
      <c r="C8" s="2" t="s">
        <v>9</v>
      </c>
      <c r="D8" s="2"/>
      <c r="E8" s="2"/>
      <c r="F8" s="2"/>
      <c r="G8" s="2"/>
      <c r="H8" s="2"/>
      <c r="J8" s="17"/>
    </row>
    <row r="9" spans="1:15">
      <c r="A9" s="2" t="s">
        <v>112</v>
      </c>
      <c r="B9" s="2" t="s">
        <v>87</v>
      </c>
      <c r="C9" t="s">
        <v>16</v>
      </c>
      <c r="D9" t="s">
        <v>22</v>
      </c>
      <c r="E9" t="s">
        <v>31</v>
      </c>
      <c r="F9" t="s">
        <v>113</v>
      </c>
      <c r="G9" t="s">
        <v>114</v>
      </c>
      <c r="J9" s="17"/>
    </row>
    <row r="10" spans="1:15">
      <c r="A10" s="2"/>
      <c r="B10" s="2" t="s">
        <v>94</v>
      </c>
      <c r="C10" t="s">
        <v>115</v>
      </c>
      <c r="D10" t="s">
        <v>116</v>
      </c>
      <c r="E10" t="s">
        <v>117</v>
      </c>
      <c r="F10" t="s">
        <v>118</v>
      </c>
      <c r="J10" s="17"/>
      <c r="O10" s="14"/>
    </row>
    <row r="11" spans="1:15">
      <c r="A11" s="2"/>
      <c r="B11" s="2" t="s">
        <v>101</v>
      </c>
      <c r="C11" t="s">
        <v>119</v>
      </c>
      <c r="D11" t="s">
        <v>120</v>
      </c>
      <c r="E11" t="s">
        <v>121</v>
      </c>
      <c r="F11" t="s">
        <v>122</v>
      </c>
      <c r="J11" s="17"/>
      <c r="O11" s="14"/>
    </row>
    <row r="12" spans="1:15">
      <c r="A12" s="2"/>
      <c r="B12" s="2" t="s">
        <v>108</v>
      </c>
      <c r="C12" t="s">
        <v>123</v>
      </c>
      <c r="J12" s="17"/>
      <c r="O12" s="14"/>
    </row>
    <row r="13" spans="1:15">
      <c r="A13" s="2"/>
      <c r="B13" s="2"/>
      <c r="J13" s="17"/>
      <c r="O13" s="14"/>
    </row>
    <row r="14" spans="1:15">
      <c r="A14" s="2"/>
      <c r="B14" s="2"/>
      <c r="J14" s="17"/>
      <c r="O14" s="14"/>
    </row>
    <row r="15" spans="1:15">
      <c r="A15" s="2" t="s">
        <v>124</v>
      </c>
      <c r="B15" s="2" t="s">
        <v>85</v>
      </c>
      <c r="C15" s="2" t="s">
        <v>9</v>
      </c>
      <c r="D15" s="2"/>
      <c r="E15" s="2"/>
      <c r="F15" s="2"/>
      <c r="G15" s="2"/>
      <c r="H15" s="2"/>
      <c r="J15" s="17"/>
      <c r="O15" s="14"/>
    </row>
    <row r="16" spans="1:15">
      <c r="A16" s="2" t="s">
        <v>125</v>
      </c>
      <c r="B16" s="2" t="s">
        <v>87</v>
      </c>
      <c r="C16" t="s">
        <v>126</v>
      </c>
      <c r="D16" t="s">
        <v>41</v>
      </c>
      <c r="E16" t="s">
        <v>51</v>
      </c>
      <c r="F16" t="s">
        <v>127</v>
      </c>
      <c r="G16" t="s">
        <v>128</v>
      </c>
      <c r="J16" s="17"/>
    </row>
    <row r="17" spans="1:13">
      <c r="A17" s="2"/>
      <c r="B17" s="2" t="s">
        <v>101</v>
      </c>
      <c r="C17" t="s">
        <v>129</v>
      </c>
      <c r="J17" s="17"/>
      <c r="L17" s="2"/>
      <c r="M17" s="2"/>
    </row>
    <row r="18" spans="1:13">
      <c r="A18" s="2"/>
      <c r="B18" s="2" t="s">
        <v>108</v>
      </c>
      <c r="C18" t="s">
        <v>130</v>
      </c>
      <c r="J18" s="17"/>
    </row>
    <row r="19" spans="1:13">
      <c r="A19" s="2"/>
      <c r="B19" s="2"/>
      <c r="J19" s="17"/>
    </row>
    <row r="20" spans="1:13">
      <c r="A20" s="2" t="s">
        <v>131</v>
      </c>
      <c r="B20" s="2" t="s">
        <v>85</v>
      </c>
      <c r="C20" s="2" t="s">
        <v>9</v>
      </c>
      <c r="D20" s="2"/>
      <c r="E20" s="2"/>
      <c r="F20" s="2"/>
      <c r="G20" s="2"/>
      <c r="H20" s="2"/>
      <c r="J20" s="17"/>
    </row>
    <row r="21" spans="1:13">
      <c r="A21" s="2" t="s">
        <v>132</v>
      </c>
      <c r="B21" s="2" t="s">
        <v>87</v>
      </c>
      <c r="C21" t="s">
        <v>59</v>
      </c>
      <c r="D21" t="s">
        <v>62</v>
      </c>
      <c r="E21" t="s">
        <v>66</v>
      </c>
      <c r="F21" t="s">
        <v>67</v>
      </c>
      <c r="J21" s="17"/>
    </row>
    <row r="22" spans="1:13">
      <c r="A22" s="2"/>
      <c r="B22" s="2"/>
      <c r="C22" t="s">
        <v>133</v>
      </c>
      <c r="D22" t="s">
        <v>134</v>
      </c>
      <c r="E22" t="s">
        <v>135</v>
      </c>
      <c r="F22" t="s">
        <v>54</v>
      </c>
      <c r="G22" t="s">
        <v>136</v>
      </c>
      <c r="J22" s="17"/>
    </row>
    <row r="23" spans="1:13">
      <c r="A23" s="2"/>
      <c r="B23" s="2"/>
      <c r="J23" s="17"/>
    </row>
    <row r="24" spans="1:13">
      <c r="A24" s="2" t="s">
        <v>137</v>
      </c>
      <c r="B24" s="2" t="s">
        <v>85</v>
      </c>
      <c r="C24" s="2" t="s">
        <v>9</v>
      </c>
      <c r="D24" s="2"/>
      <c r="E24" s="2"/>
      <c r="F24" s="2"/>
      <c r="G24" s="2"/>
      <c r="H24" s="2"/>
      <c r="J24" s="17"/>
    </row>
    <row r="25" spans="1:13">
      <c r="A25" s="2" t="s">
        <v>138</v>
      </c>
      <c r="B25" s="2" t="s">
        <v>87</v>
      </c>
      <c r="C25" t="s">
        <v>69</v>
      </c>
      <c r="D25" t="s">
        <v>72</v>
      </c>
      <c r="J25" s="17"/>
    </row>
    <row r="26" spans="1:13">
      <c r="A26" s="2"/>
      <c r="B26" s="2"/>
      <c r="J26" s="17"/>
    </row>
    <row r="27" spans="1:13">
      <c r="A27" s="2" t="s">
        <v>139</v>
      </c>
      <c r="B27" s="2" t="s">
        <v>85</v>
      </c>
      <c r="C27" t="s">
        <v>9</v>
      </c>
      <c r="J27" s="17"/>
    </row>
    <row r="28" spans="1:13">
      <c r="A28" s="2" t="s">
        <v>140</v>
      </c>
      <c r="B28" s="2" t="s">
        <v>87</v>
      </c>
      <c r="C28" t="s">
        <v>77</v>
      </c>
      <c r="D28" t="s">
        <v>79</v>
      </c>
      <c r="E28" t="s">
        <v>141</v>
      </c>
      <c r="F28" t="s">
        <v>142</v>
      </c>
      <c r="J28" s="17"/>
    </row>
    <row r="29" spans="1:13">
      <c r="A29" s="2"/>
      <c r="B29" s="2" t="s">
        <v>94</v>
      </c>
      <c r="C29" t="s">
        <v>143</v>
      </c>
      <c r="J29" s="17"/>
    </row>
    <row r="30" spans="1:13">
      <c r="A30" s="2"/>
      <c r="B30" s="2"/>
      <c r="J30" s="17"/>
    </row>
    <row r="31" spans="1:13">
      <c r="A31" s="2" t="s">
        <v>144</v>
      </c>
      <c r="B31" s="2" t="s">
        <v>85</v>
      </c>
      <c r="C31" s="2" t="s">
        <v>9</v>
      </c>
      <c r="D31" s="2"/>
      <c r="E31" s="2"/>
      <c r="F31" s="2"/>
      <c r="G31" s="2"/>
      <c r="H31" s="2"/>
      <c r="J31" s="17"/>
    </row>
    <row r="32" spans="1:13">
      <c r="A32" s="2" t="s">
        <v>145</v>
      </c>
      <c r="B32" s="2" t="s">
        <v>94</v>
      </c>
      <c r="C32" t="s">
        <v>146</v>
      </c>
      <c r="J32" s="17"/>
    </row>
    <row r="33" spans="1:23">
      <c r="A33" s="2"/>
      <c r="B33" s="2"/>
      <c r="J33" s="17"/>
    </row>
    <row r="34" spans="1:23">
      <c r="A34" s="2" t="s">
        <v>147</v>
      </c>
      <c r="B34" s="2" t="s">
        <v>85</v>
      </c>
      <c r="C34" s="2" t="s">
        <v>9</v>
      </c>
      <c r="D34" s="2"/>
      <c r="E34" s="2"/>
      <c r="F34" s="2"/>
      <c r="G34" s="2"/>
      <c r="H34" s="2"/>
      <c r="J34" s="17"/>
    </row>
    <row r="35" spans="1:23">
      <c r="A35" s="2" t="s">
        <v>148</v>
      </c>
      <c r="B35" s="2" t="s">
        <v>87</v>
      </c>
      <c r="C35" t="s">
        <v>149</v>
      </c>
      <c r="D35" t="s">
        <v>150</v>
      </c>
      <c r="E35" t="s">
        <v>151</v>
      </c>
      <c r="F35" t="s">
        <v>152</v>
      </c>
      <c r="J35" s="17"/>
      <c r="O35" s="12"/>
      <c r="P35" s="12"/>
      <c r="Q35" s="12"/>
      <c r="R35" s="12"/>
      <c r="S35" s="12"/>
      <c r="T35" s="12"/>
      <c r="U35" s="12"/>
      <c r="V35" s="12"/>
    </row>
    <row r="36" spans="1:23">
      <c r="A36" s="2"/>
      <c r="B36" s="2"/>
      <c r="C36" t="s">
        <v>153</v>
      </c>
      <c r="D36" t="s">
        <v>154</v>
      </c>
      <c r="E36" t="s">
        <v>155</v>
      </c>
      <c r="F36" t="s">
        <v>156</v>
      </c>
      <c r="J36" s="17"/>
      <c r="O36" s="12"/>
      <c r="P36" s="12"/>
      <c r="Q36" s="12"/>
      <c r="R36" s="12"/>
      <c r="S36" s="12"/>
      <c r="T36" s="12"/>
      <c r="U36" s="12"/>
      <c r="V36" s="12"/>
    </row>
    <row r="37" spans="1:23">
      <c r="A37" s="2"/>
      <c r="B37" s="2"/>
      <c r="C37" t="s">
        <v>157</v>
      </c>
      <c r="D37" t="s">
        <v>158</v>
      </c>
      <c r="J37" s="17"/>
      <c r="O37" s="12"/>
      <c r="P37" s="12"/>
      <c r="Q37" s="12"/>
      <c r="R37" s="12"/>
      <c r="S37" s="12"/>
      <c r="T37" s="12"/>
      <c r="U37" s="12"/>
      <c r="V37" s="12"/>
    </row>
    <row r="38" spans="1:23">
      <c r="A38" s="2"/>
      <c r="B38" s="2"/>
      <c r="J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spans="1:23">
      <c r="J39" s="17"/>
      <c r="N39" s="17"/>
      <c r="O39" s="17"/>
      <c r="P39" s="17" t="s">
        <v>159</v>
      </c>
      <c r="Q39" s="17" t="s">
        <v>160</v>
      </c>
      <c r="R39" s="17" t="s">
        <v>161</v>
      </c>
      <c r="S39" s="17" t="s">
        <v>162</v>
      </c>
      <c r="T39" s="17" t="s">
        <v>163</v>
      </c>
      <c r="U39" s="17" t="s">
        <v>164</v>
      </c>
      <c r="V39" s="17"/>
      <c r="W39" s="17"/>
    </row>
    <row r="40" spans="1:23">
      <c r="A40" t="s">
        <v>9</v>
      </c>
      <c r="B40" t="s">
        <v>165</v>
      </c>
      <c r="C40" t="s">
        <v>166</v>
      </c>
      <c r="D40" t="s">
        <v>167</v>
      </c>
      <c r="E40" t="s">
        <v>168</v>
      </c>
      <c r="J40" s="17"/>
      <c r="N40" s="17"/>
      <c r="O40" s="17"/>
      <c r="P40" s="17" t="s">
        <v>169</v>
      </c>
      <c r="Q40" s="17">
        <v>4</v>
      </c>
      <c r="R40" s="17">
        <v>5</v>
      </c>
      <c r="S40" s="17">
        <v>5</v>
      </c>
      <c r="T40" s="17">
        <v>6</v>
      </c>
      <c r="U40" s="17">
        <v>6</v>
      </c>
      <c r="V40" s="17"/>
      <c r="W40" s="17"/>
    </row>
    <row r="41" spans="1:23">
      <c r="A41" t="s">
        <v>88</v>
      </c>
      <c r="B41" t="s">
        <v>170</v>
      </c>
      <c r="C41" t="s">
        <v>171</v>
      </c>
      <c r="J41" s="17"/>
      <c r="N41" s="17"/>
      <c r="O41" s="17"/>
      <c r="P41" s="17" t="s">
        <v>172</v>
      </c>
      <c r="Q41" s="17">
        <v>6</v>
      </c>
      <c r="R41" s="17">
        <v>7</v>
      </c>
      <c r="S41" s="17">
        <v>8</v>
      </c>
      <c r="T41" s="17">
        <v>9</v>
      </c>
      <c r="U41" s="17">
        <v>10</v>
      </c>
      <c r="V41" s="17"/>
      <c r="W41" s="17"/>
    </row>
    <row r="42" spans="1:23">
      <c r="A42" t="s">
        <v>89</v>
      </c>
      <c r="B42" t="s">
        <v>170</v>
      </c>
      <c r="C42" t="s">
        <v>173</v>
      </c>
      <c r="J42" s="17"/>
      <c r="N42" s="17"/>
      <c r="O42" s="17"/>
      <c r="P42" s="17" t="s">
        <v>174</v>
      </c>
      <c r="Q42" s="17">
        <v>8</v>
      </c>
      <c r="R42" s="17">
        <v>9</v>
      </c>
      <c r="S42" s="17">
        <v>10</v>
      </c>
      <c r="T42" s="17">
        <v>12</v>
      </c>
      <c r="U42" s="17">
        <v>13</v>
      </c>
      <c r="V42" s="17"/>
      <c r="W42" s="17"/>
    </row>
    <row r="43" spans="1:23">
      <c r="A43" t="s">
        <v>90</v>
      </c>
      <c r="B43" t="s">
        <v>170</v>
      </c>
      <c r="C43" t="s">
        <v>175</v>
      </c>
      <c r="J43" s="17"/>
      <c r="N43" s="17"/>
      <c r="O43" s="17"/>
      <c r="P43" s="17" t="s">
        <v>176</v>
      </c>
      <c r="Q43" s="17">
        <v>10</v>
      </c>
      <c r="R43" s="17">
        <v>12</v>
      </c>
      <c r="S43" s="17">
        <v>13</v>
      </c>
      <c r="T43" s="17">
        <v>15</v>
      </c>
      <c r="U43" s="17">
        <v>16</v>
      </c>
      <c r="V43" s="17"/>
      <c r="W43" s="17"/>
    </row>
    <row r="44" spans="1:23">
      <c r="A44" t="s">
        <v>91</v>
      </c>
      <c r="B44" t="s">
        <v>170</v>
      </c>
      <c r="C44" t="s">
        <v>177</v>
      </c>
      <c r="J44" s="17"/>
      <c r="N44" s="17"/>
      <c r="O44" s="17"/>
      <c r="P44" s="17" t="s">
        <v>178</v>
      </c>
      <c r="Q44" s="17">
        <v>12</v>
      </c>
      <c r="R44" s="17">
        <v>14</v>
      </c>
      <c r="S44" s="17">
        <v>16</v>
      </c>
      <c r="T44" s="17">
        <v>17</v>
      </c>
      <c r="U44" s="17">
        <v>19</v>
      </c>
      <c r="V44" s="17"/>
      <c r="W44" s="17"/>
    </row>
    <row r="45" spans="1:23">
      <c r="A45" t="s">
        <v>92</v>
      </c>
      <c r="B45" t="s">
        <v>170</v>
      </c>
      <c r="C45" t="s">
        <v>179</v>
      </c>
      <c r="J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1:23">
      <c r="A46" t="s">
        <v>93</v>
      </c>
      <c r="B46" t="s">
        <v>170</v>
      </c>
      <c r="C46" t="s">
        <v>180</v>
      </c>
      <c r="N46" s="17"/>
      <c r="O46" s="17"/>
      <c r="P46" s="17" t="s">
        <v>159</v>
      </c>
      <c r="Q46" s="17" t="s">
        <v>160</v>
      </c>
      <c r="R46" s="17" t="s">
        <v>161</v>
      </c>
      <c r="S46" s="17" t="s">
        <v>162</v>
      </c>
      <c r="T46" s="17" t="s">
        <v>163</v>
      </c>
      <c r="U46" s="17" t="s">
        <v>164</v>
      </c>
      <c r="V46" s="17"/>
      <c r="W46" s="17"/>
    </row>
    <row r="47" spans="1:23">
      <c r="A47" t="s">
        <v>95</v>
      </c>
      <c r="B47" t="s">
        <v>181</v>
      </c>
      <c r="C47" t="s">
        <v>182</v>
      </c>
      <c r="D47" s="12">
        <v>1</v>
      </c>
      <c r="J47" t="s">
        <v>183</v>
      </c>
      <c r="N47" s="17"/>
      <c r="O47" s="17"/>
      <c r="P47" s="17" t="s">
        <v>169</v>
      </c>
      <c r="Q47" s="17" t="s">
        <v>184</v>
      </c>
      <c r="R47" s="17" t="s">
        <v>184</v>
      </c>
      <c r="S47" s="17" t="s">
        <v>184</v>
      </c>
      <c r="T47" s="17" t="s">
        <v>184</v>
      </c>
      <c r="U47" s="17" t="s">
        <v>184</v>
      </c>
      <c r="V47" s="17"/>
      <c r="W47" s="17"/>
    </row>
    <row r="48" spans="1:23">
      <c r="A48" t="s">
        <v>96</v>
      </c>
      <c r="B48" t="s">
        <v>181</v>
      </c>
      <c r="C48" t="s">
        <v>185</v>
      </c>
      <c r="D48" s="12">
        <v>1</v>
      </c>
      <c r="J48" t="s">
        <v>183</v>
      </c>
      <c r="N48" s="17"/>
      <c r="O48" s="17"/>
      <c r="P48" s="17" t="s">
        <v>172</v>
      </c>
      <c r="Q48" s="17" t="s">
        <v>184</v>
      </c>
      <c r="R48" s="17" t="s">
        <v>184</v>
      </c>
      <c r="S48" s="17">
        <v>4</v>
      </c>
      <c r="T48" s="17">
        <v>5</v>
      </c>
      <c r="U48" s="17">
        <v>6</v>
      </c>
      <c r="V48" s="17"/>
      <c r="W48" s="17"/>
    </row>
    <row r="49" spans="1:23">
      <c r="A49" t="s">
        <v>97</v>
      </c>
      <c r="B49" t="s">
        <v>181</v>
      </c>
      <c r="C49" t="s">
        <v>186</v>
      </c>
      <c r="D49" s="12">
        <v>1</v>
      </c>
      <c r="J49" t="s">
        <v>183</v>
      </c>
      <c r="N49" s="17"/>
      <c r="O49" s="17"/>
      <c r="P49" s="17" t="s">
        <v>174</v>
      </c>
      <c r="Q49" s="17" t="s">
        <v>184</v>
      </c>
      <c r="R49" s="17" t="s">
        <v>184</v>
      </c>
      <c r="S49" s="17">
        <v>6</v>
      </c>
      <c r="T49" s="17">
        <v>7</v>
      </c>
      <c r="U49" s="17">
        <v>8</v>
      </c>
      <c r="V49" s="17"/>
      <c r="W49" s="17"/>
    </row>
    <row r="50" spans="1:23">
      <c r="A50" t="s">
        <v>98</v>
      </c>
      <c r="B50" t="s">
        <v>181</v>
      </c>
      <c r="C50" t="s">
        <v>187</v>
      </c>
      <c r="D50" s="12">
        <v>1</v>
      </c>
      <c r="J50" t="s">
        <v>183</v>
      </c>
      <c r="N50" s="17"/>
      <c r="O50" s="17"/>
      <c r="P50" s="17" t="s">
        <v>176</v>
      </c>
      <c r="Q50" s="17" t="s">
        <v>184</v>
      </c>
      <c r="R50" s="17" t="s">
        <v>184</v>
      </c>
      <c r="S50" s="17">
        <v>8</v>
      </c>
      <c r="T50" s="17">
        <v>9</v>
      </c>
      <c r="U50" s="17">
        <v>10</v>
      </c>
      <c r="V50" s="17"/>
      <c r="W50" s="17"/>
    </row>
    <row r="51" spans="1:23">
      <c r="A51" t="s">
        <v>99</v>
      </c>
      <c r="B51" t="s">
        <v>181</v>
      </c>
      <c r="C51" t="s">
        <v>188</v>
      </c>
      <c r="D51" s="12">
        <v>1</v>
      </c>
      <c r="J51" t="s">
        <v>183</v>
      </c>
      <c r="N51" s="17"/>
      <c r="O51" s="17"/>
      <c r="P51" s="17" t="s">
        <v>178</v>
      </c>
      <c r="Q51" s="17" t="s">
        <v>184</v>
      </c>
      <c r="R51" s="17" t="s">
        <v>184</v>
      </c>
      <c r="S51" s="17">
        <v>10</v>
      </c>
      <c r="T51" s="17">
        <v>11</v>
      </c>
      <c r="U51" s="17">
        <v>12</v>
      </c>
      <c r="V51" s="17"/>
      <c r="W51" s="17"/>
    </row>
    <row r="52" spans="1:23">
      <c r="A52" t="s">
        <v>100</v>
      </c>
      <c r="B52" t="s">
        <v>181</v>
      </c>
      <c r="C52" t="s">
        <v>189</v>
      </c>
      <c r="D52" s="12">
        <v>1</v>
      </c>
      <c r="J52" t="s">
        <v>183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</row>
    <row r="53" spans="1:23">
      <c r="A53" t="s">
        <v>102</v>
      </c>
      <c r="B53" t="s">
        <v>181</v>
      </c>
      <c r="C53" t="s">
        <v>190</v>
      </c>
      <c r="D53" s="12">
        <v>0.6</v>
      </c>
      <c r="J53" t="s">
        <v>191</v>
      </c>
      <c r="N53" s="17"/>
      <c r="O53" s="17"/>
      <c r="P53" s="17" t="s">
        <v>20</v>
      </c>
      <c r="Q53" s="17" t="s">
        <v>192</v>
      </c>
      <c r="R53" s="17" t="s">
        <v>193</v>
      </c>
      <c r="S53" s="17" t="s">
        <v>194</v>
      </c>
      <c r="T53" s="17"/>
      <c r="U53" s="17"/>
      <c r="V53" s="17"/>
      <c r="W53" s="17"/>
    </row>
    <row r="54" spans="1:23">
      <c r="A54" t="s">
        <v>103</v>
      </c>
      <c r="B54" t="s">
        <v>181</v>
      </c>
      <c r="C54" t="s">
        <v>195</v>
      </c>
      <c r="D54" s="12">
        <v>0.6</v>
      </c>
      <c r="J54" t="s">
        <v>191</v>
      </c>
      <c r="N54" s="17"/>
      <c r="O54" s="17"/>
      <c r="P54" s="17" t="s">
        <v>196</v>
      </c>
      <c r="Q54" s="17" t="s">
        <v>89</v>
      </c>
      <c r="R54" s="17" t="s">
        <v>197</v>
      </c>
      <c r="S54" s="17" t="s">
        <v>198</v>
      </c>
      <c r="T54" s="17"/>
      <c r="U54" s="17"/>
      <c r="V54" s="17"/>
      <c r="W54" s="17"/>
    </row>
    <row r="55" spans="1:23">
      <c r="A55" t="s">
        <v>104</v>
      </c>
      <c r="B55" t="s">
        <v>181</v>
      </c>
      <c r="C55" t="s">
        <v>199</v>
      </c>
      <c r="D55" s="12">
        <v>0.6</v>
      </c>
      <c r="J55" t="s">
        <v>191</v>
      </c>
      <c r="N55" s="17"/>
      <c r="O55" s="17"/>
      <c r="P55" s="17" t="s">
        <v>200</v>
      </c>
      <c r="Q55" s="17" t="s">
        <v>88</v>
      </c>
      <c r="R55" s="17" t="s">
        <v>201</v>
      </c>
      <c r="S55" s="17" t="s">
        <v>202</v>
      </c>
      <c r="T55" s="17"/>
      <c r="U55" s="17"/>
      <c r="V55" s="17"/>
      <c r="W55" s="17"/>
    </row>
    <row r="56" spans="1:23">
      <c r="A56" t="s">
        <v>105</v>
      </c>
      <c r="B56" t="s">
        <v>181</v>
      </c>
      <c r="C56" t="s">
        <v>203</v>
      </c>
      <c r="D56" s="12">
        <v>0.6</v>
      </c>
      <c r="J56" t="s">
        <v>191</v>
      </c>
      <c r="N56" s="17"/>
      <c r="O56" s="17"/>
      <c r="P56" s="17" t="s">
        <v>204</v>
      </c>
      <c r="Q56" s="17" t="s">
        <v>90</v>
      </c>
      <c r="R56" s="17" t="s">
        <v>205</v>
      </c>
      <c r="S56" s="17" t="s">
        <v>206</v>
      </c>
      <c r="T56" s="17"/>
      <c r="U56" s="17"/>
      <c r="V56" s="17"/>
      <c r="W56" s="17"/>
    </row>
    <row r="57" spans="1:23">
      <c r="A57" t="s">
        <v>106</v>
      </c>
      <c r="B57" t="s">
        <v>181</v>
      </c>
      <c r="C57" t="s">
        <v>207</v>
      </c>
      <c r="D57" s="12">
        <v>0.6</v>
      </c>
      <c r="J57" t="s">
        <v>191</v>
      </c>
      <c r="N57" s="17"/>
      <c r="O57" s="17"/>
      <c r="P57" s="17" t="s">
        <v>208</v>
      </c>
      <c r="Q57" s="17" t="s">
        <v>93</v>
      </c>
      <c r="R57" s="17" t="s">
        <v>209</v>
      </c>
      <c r="S57" s="17" t="s">
        <v>210</v>
      </c>
      <c r="T57" s="17"/>
      <c r="U57" s="17"/>
      <c r="V57" s="17"/>
      <c r="W57" s="17"/>
    </row>
    <row r="58" spans="1:23">
      <c r="A58" t="s">
        <v>107</v>
      </c>
      <c r="B58" t="s">
        <v>181</v>
      </c>
      <c r="C58" t="s">
        <v>211</v>
      </c>
      <c r="D58" s="12">
        <v>0.6</v>
      </c>
      <c r="J58" t="s">
        <v>191</v>
      </c>
      <c r="N58" s="17"/>
      <c r="O58" s="17"/>
      <c r="P58" s="17" t="s">
        <v>212</v>
      </c>
      <c r="Q58" s="17" t="s">
        <v>91</v>
      </c>
      <c r="R58" s="17" t="s">
        <v>213</v>
      </c>
      <c r="S58" s="17" t="s">
        <v>214</v>
      </c>
      <c r="T58" s="17"/>
      <c r="U58" s="17"/>
      <c r="V58" s="17"/>
      <c r="W58" s="17"/>
    </row>
    <row r="59" spans="1:23">
      <c r="A59" t="s">
        <v>109</v>
      </c>
      <c r="B59" t="s">
        <v>181</v>
      </c>
      <c r="C59" t="s">
        <v>215</v>
      </c>
      <c r="D59" s="12">
        <v>0.6</v>
      </c>
      <c r="J59" t="s">
        <v>216</v>
      </c>
      <c r="N59" s="17"/>
      <c r="O59" s="17"/>
      <c r="P59" s="17" t="s">
        <v>217</v>
      </c>
      <c r="Q59" s="17" t="s">
        <v>92</v>
      </c>
      <c r="R59" s="17" t="s">
        <v>197</v>
      </c>
      <c r="S59" s="17" t="s">
        <v>218</v>
      </c>
      <c r="T59" s="17"/>
      <c r="U59" s="17"/>
    </row>
    <row r="60" spans="1:23">
      <c r="A60" t="s">
        <v>110</v>
      </c>
      <c r="B60" t="s">
        <v>181</v>
      </c>
      <c r="C60" t="s">
        <v>219</v>
      </c>
      <c r="D60" s="12">
        <v>0.6</v>
      </c>
      <c r="J60" t="s">
        <v>216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</row>
    <row r="61" ht="15" spans="1:23">
      <c r="A61" t="s">
        <v>16</v>
      </c>
      <c r="B61" t="s">
        <v>181</v>
      </c>
      <c r="C61" t="s">
        <v>220</v>
      </c>
      <c r="D61" s="12">
        <v>1</v>
      </c>
      <c r="E61" t="s">
        <v>196</v>
      </c>
      <c r="F61" t="s">
        <v>30</v>
      </c>
      <c r="G61" t="s">
        <v>39</v>
      </c>
      <c r="H61" t="s">
        <v>221</v>
      </c>
      <c r="J61" s="17" t="s">
        <v>222</v>
      </c>
      <c r="K61" t="s">
        <v>223</v>
      </c>
      <c r="N61" s="17"/>
      <c r="O61" s="17"/>
      <c r="P61" s="17" t="s">
        <v>224</v>
      </c>
      <c r="Q61" s="17"/>
      <c r="R61" s="17"/>
      <c r="S61" s="17"/>
      <c r="T61" s="17"/>
      <c r="U61" s="17"/>
      <c r="V61" s="17"/>
      <c r="W61" s="17"/>
    </row>
    <row r="62" ht="15" spans="1:23">
      <c r="A62" t="s">
        <v>22</v>
      </c>
      <c r="B62" t="s">
        <v>181</v>
      </c>
      <c r="C62" t="s">
        <v>225</v>
      </c>
      <c r="D62" s="12">
        <v>3</v>
      </c>
      <c r="E62" t="s">
        <v>196</v>
      </c>
      <c r="F62" t="s">
        <v>30</v>
      </c>
      <c r="G62" t="s">
        <v>39</v>
      </c>
      <c r="I62" t="s">
        <v>226</v>
      </c>
      <c r="J62" s="17"/>
      <c r="N62" s="17"/>
      <c r="O62" s="17"/>
      <c r="P62" s="17" t="s">
        <v>227</v>
      </c>
      <c r="Q62" s="17"/>
      <c r="R62" s="17"/>
      <c r="S62" s="17"/>
      <c r="T62" s="17"/>
      <c r="U62" s="17"/>
      <c r="V62" s="17"/>
      <c r="W62" s="17"/>
    </row>
    <row r="63" spans="1:23">
      <c r="A63" t="s">
        <v>31</v>
      </c>
      <c r="B63" t="s">
        <v>181</v>
      </c>
      <c r="C63" t="s">
        <v>228</v>
      </c>
      <c r="D63" s="12">
        <v>1.2</v>
      </c>
      <c r="E63" t="s">
        <v>196</v>
      </c>
      <c r="J63" s="17"/>
      <c r="N63" s="17"/>
      <c r="O63" s="17"/>
      <c r="P63" s="17" t="s">
        <v>229</v>
      </c>
      <c r="Q63" s="17"/>
      <c r="R63" s="17"/>
      <c r="S63" s="17"/>
      <c r="T63" s="17"/>
      <c r="U63" s="17"/>
      <c r="V63" s="17"/>
      <c r="W63" s="17"/>
    </row>
    <row r="64" spans="1:23">
      <c r="A64" t="s">
        <v>113</v>
      </c>
      <c r="B64" t="s">
        <v>181</v>
      </c>
      <c r="C64" t="s">
        <v>230</v>
      </c>
      <c r="D64" s="12">
        <v>0.8</v>
      </c>
      <c r="J64" s="17"/>
      <c r="N64" s="17"/>
      <c r="O64" s="17"/>
      <c r="P64" s="17"/>
      <c r="Q64" s="17"/>
      <c r="R64" s="17"/>
      <c r="S64" s="17"/>
      <c r="T64" s="17"/>
      <c r="U64" s="17"/>
      <c r="V64" s="17"/>
      <c r="W64" s="17"/>
    </row>
    <row r="65" spans="1:23">
      <c r="A65" t="s">
        <v>114</v>
      </c>
      <c r="B65" t="s">
        <v>181</v>
      </c>
      <c r="C65" t="s">
        <v>231</v>
      </c>
      <c r="D65">
        <v>1000</v>
      </c>
      <c r="I65" t="s">
        <v>226</v>
      </c>
      <c r="J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spans="1:23">
      <c r="A66" t="s">
        <v>115</v>
      </c>
      <c r="B66" t="s">
        <v>181</v>
      </c>
      <c r="C66" t="s">
        <v>232</v>
      </c>
      <c r="D66" s="12">
        <v>1.5</v>
      </c>
      <c r="J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spans="1:23">
      <c r="A67" t="s">
        <v>116</v>
      </c>
      <c r="B67" t="s">
        <v>181</v>
      </c>
      <c r="C67" t="s">
        <v>233</v>
      </c>
      <c r="D67" s="12">
        <v>1</v>
      </c>
      <c r="I67" t="s">
        <v>234</v>
      </c>
      <c r="J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spans="1:23">
      <c r="A68" t="s">
        <v>117</v>
      </c>
      <c r="B68" t="s">
        <v>181</v>
      </c>
      <c r="C68" t="s">
        <v>235</v>
      </c>
      <c r="D68" s="12">
        <v>0.5</v>
      </c>
      <c r="J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spans="1:23">
      <c r="A69" t="s">
        <v>118</v>
      </c>
      <c r="B69" t="s">
        <v>181</v>
      </c>
      <c r="C69" t="s">
        <v>236</v>
      </c>
      <c r="D69" s="12">
        <v>1.5</v>
      </c>
      <c r="I69" t="s">
        <v>226</v>
      </c>
      <c r="J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spans="1:23">
      <c r="A70" t="s">
        <v>119</v>
      </c>
      <c r="B70" t="s">
        <v>181</v>
      </c>
      <c r="C70" t="s">
        <v>237</v>
      </c>
      <c r="D70" s="12">
        <v>1.5</v>
      </c>
      <c r="J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spans="1:23">
      <c r="A71" t="s">
        <v>120</v>
      </c>
      <c r="B71" t="s">
        <v>181</v>
      </c>
      <c r="C71" t="s">
        <v>238</v>
      </c>
      <c r="D71" s="12">
        <v>1.5</v>
      </c>
      <c r="I71" t="s">
        <v>226</v>
      </c>
      <c r="J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1:23">
      <c r="A72" t="s">
        <v>121</v>
      </c>
      <c r="B72" t="s">
        <v>181</v>
      </c>
      <c r="C72" t="s">
        <v>239</v>
      </c>
      <c r="D72" s="12">
        <v>1.5</v>
      </c>
      <c r="O72" s="17"/>
      <c r="P72" s="17"/>
      <c r="Q72" s="17"/>
      <c r="R72" s="17"/>
      <c r="S72" s="17"/>
      <c r="T72" s="17"/>
      <c r="U72" s="17"/>
      <c r="V72" s="17"/>
      <c r="W72" s="17"/>
    </row>
    <row r="73" spans="1:23">
      <c r="A73" t="s">
        <v>122</v>
      </c>
      <c r="B73" t="s">
        <v>181</v>
      </c>
      <c r="C73" t="s">
        <v>240</v>
      </c>
      <c r="D73" s="12">
        <v>1.5</v>
      </c>
      <c r="O73" s="17"/>
      <c r="P73" s="17"/>
      <c r="Q73" s="17"/>
      <c r="R73" s="17"/>
      <c r="S73" s="17"/>
      <c r="T73" s="17"/>
      <c r="U73" s="17"/>
      <c r="V73" s="17"/>
      <c r="W73" s="17"/>
    </row>
    <row r="74" spans="1:23">
      <c r="A74" t="s">
        <v>123</v>
      </c>
      <c r="B74" t="s">
        <v>181</v>
      </c>
      <c r="C74" t="s">
        <v>241</v>
      </c>
      <c r="D74" s="12">
        <v>1.5</v>
      </c>
    </row>
    <row r="75" spans="1:23">
      <c r="A75" t="s">
        <v>126</v>
      </c>
      <c r="B75" t="s">
        <v>170</v>
      </c>
      <c r="C75" t="s">
        <v>242</v>
      </c>
    </row>
    <row r="76" spans="1:23">
      <c r="A76" t="s">
        <v>41</v>
      </c>
      <c r="B76" t="s">
        <v>181</v>
      </c>
      <c r="C76" t="s">
        <v>243</v>
      </c>
      <c r="D76" s="12">
        <v>0.6</v>
      </c>
    </row>
    <row r="77" spans="1:23">
      <c r="A77" t="s">
        <v>51</v>
      </c>
      <c r="B77" t="s">
        <v>181</v>
      </c>
      <c r="C77" t="s">
        <v>244</v>
      </c>
      <c r="D77" s="12">
        <v>0.7</v>
      </c>
    </row>
    <row r="78" spans="1:23">
      <c r="A78" t="s">
        <v>127</v>
      </c>
      <c r="B78" t="s">
        <v>181</v>
      </c>
      <c r="C78" t="s">
        <v>245</v>
      </c>
      <c r="D78" s="12">
        <v>0.2</v>
      </c>
    </row>
    <row r="79" spans="1:23">
      <c r="A79" t="s">
        <v>128</v>
      </c>
      <c r="B79" t="s">
        <v>170</v>
      </c>
      <c r="C79" t="s">
        <v>246</v>
      </c>
      <c r="D79">
        <v>500</v>
      </c>
    </row>
    <row r="80" spans="1:23">
      <c r="A80" t="s">
        <v>129</v>
      </c>
      <c r="B80" t="s">
        <v>181</v>
      </c>
      <c r="C80" t="s">
        <v>247</v>
      </c>
      <c r="D80" s="12">
        <v>0.5</v>
      </c>
    </row>
    <row r="81" spans="1:8">
      <c r="A81" t="s">
        <v>130</v>
      </c>
      <c r="B81" t="s">
        <v>181</v>
      </c>
      <c r="C81" t="s">
        <v>248</v>
      </c>
      <c r="D81" s="12">
        <v>0.4</v>
      </c>
      <c r="E81" t="s">
        <v>249</v>
      </c>
      <c r="F81" t="s">
        <v>250</v>
      </c>
      <c r="G81" t="s">
        <v>251</v>
      </c>
      <c r="H81" t="s">
        <v>252</v>
      </c>
    </row>
    <row r="82" spans="1:8">
      <c r="A82" t="s">
        <v>59</v>
      </c>
      <c r="B82" t="s">
        <v>181</v>
      </c>
      <c r="C82" t="s">
        <v>253</v>
      </c>
      <c r="D82" s="12">
        <v>0.5</v>
      </c>
      <c r="E82" t="s">
        <v>254</v>
      </c>
      <c r="F82" t="s">
        <v>255</v>
      </c>
      <c r="G82" t="s">
        <v>256</v>
      </c>
      <c r="H82" t="s">
        <v>257</v>
      </c>
    </row>
    <row r="83" spans="1:8">
      <c r="A83" t="s">
        <v>62</v>
      </c>
      <c r="B83" t="s">
        <v>181</v>
      </c>
      <c r="C83" t="s">
        <v>258</v>
      </c>
      <c r="D83" s="12">
        <v>0.5</v>
      </c>
      <c r="E83" t="s">
        <v>259</v>
      </c>
      <c r="F83" t="s">
        <v>260</v>
      </c>
      <c r="G83" t="s">
        <v>261</v>
      </c>
      <c r="H83" t="s">
        <v>262</v>
      </c>
    </row>
    <row r="84" spans="1:8">
      <c r="A84" t="s">
        <v>66</v>
      </c>
      <c r="B84" t="s">
        <v>181</v>
      </c>
      <c r="C84" t="s">
        <v>263</v>
      </c>
      <c r="D84" s="12">
        <v>0.55</v>
      </c>
      <c r="E84" t="s">
        <v>249</v>
      </c>
      <c r="F84" t="s">
        <v>250</v>
      </c>
      <c r="G84" t="s">
        <v>251</v>
      </c>
      <c r="H84" t="s">
        <v>252</v>
      </c>
    </row>
    <row r="85" spans="1:8">
      <c r="A85" t="s">
        <v>67</v>
      </c>
      <c r="B85" t="s">
        <v>181</v>
      </c>
      <c r="C85" t="s">
        <v>264</v>
      </c>
      <c r="D85" s="12">
        <v>0.92</v>
      </c>
      <c r="E85" t="s">
        <v>265</v>
      </c>
      <c r="F85" t="s">
        <v>266</v>
      </c>
      <c r="G85" t="s">
        <v>267</v>
      </c>
      <c r="H85" t="s">
        <v>262</v>
      </c>
    </row>
    <row r="86" spans="1:8">
      <c r="A86" t="s">
        <v>133</v>
      </c>
      <c r="B86" t="s">
        <v>181</v>
      </c>
      <c r="C86" t="s">
        <v>268</v>
      </c>
      <c r="D86" s="12">
        <v>0.62</v>
      </c>
      <c r="E86" t="s">
        <v>269</v>
      </c>
      <c r="F86" t="s">
        <v>260</v>
      </c>
      <c r="G86" t="s">
        <v>270</v>
      </c>
      <c r="H86" t="s">
        <v>252</v>
      </c>
    </row>
    <row r="87" spans="1:8">
      <c r="A87" t="s">
        <v>134</v>
      </c>
      <c r="B87" t="s">
        <v>181</v>
      </c>
      <c r="C87" t="s">
        <v>271</v>
      </c>
      <c r="D87" s="12">
        <v>0.62</v>
      </c>
      <c r="E87" t="s">
        <v>269</v>
      </c>
      <c r="F87" t="s">
        <v>260</v>
      </c>
      <c r="G87" t="s">
        <v>270</v>
      </c>
      <c r="H87" t="s">
        <v>252</v>
      </c>
    </row>
    <row r="88" spans="1:8">
      <c r="A88" t="s">
        <v>135</v>
      </c>
      <c r="B88" t="s">
        <v>181</v>
      </c>
      <c r="C88" t="s">
        <v>272</v>
      </c>
      <c r="D88" s="12">
        <v>0.62</v>
      </c>
      <c r="E88" t="s">
        <v>269</v>
      </c>
      <c r="F88" t="s">
        <v>260</v>
      </c>
      <c r="G88" t="s">
        <v>270</v>
      </c>
      <c r="H88" t="s">
        <v>252</v>
      </c>
    </row>
    <row r="89" spans="1:8">
      <c r="A89" t="s">
        <v>54</v>
      </c>
      <c r="B89" t="s">
        <v>181</v>
      </c>
      <c r="C89" t="s">
        <v>273</v>
      </c>
      <c r="D89" s="12">
        <v>0.62</v>
      </c>
      <c r="E89" t="s">
        <v>269</v>
      </c>
      <c r="F89" t="s">
        <v>260</v>
      </c>
      <c r="G89" t="s">
        <v>270</v>
      </c>
      <c r="H89" t="s">
        <v>252</v>
      </c>
    </row>
    <row r="90" spans="1:8">
      <c r="A90" t="s">
        <v>136</v>
      </c>
      <c r="B90" t="s">
        <v>181</v>
      </c>
      <c r="C90" t="s">
        <v>274</v>
      </c>
      <c r="D90" s="12">
        <v>0.5</v>
      </c>
    </row>
    <row r="91" spans="1:8">
      <c r="A91" t="s">
        <v>275</v>
      </c>
      <c r="B91" t="s">
        <v>181</v>
      </c>
      <c r="C91" t="s">
        <v>276</v>
      </c>
      <c r="D91" s="12">
        <v>1</v>
      </c>
      <c r="E91" t="s">
        <v>254</v>
      </c>
      <c r="F91" t="s">
        <v>255</v>
      </c>
      <c r="G91" t="s">
        <v>256</v>
      </c>
      <c r="H91" t="s">
        <v>257</v>
      </c>
    </row>
    <row r="92" spans="1:8">
      <c r="A92" t="s">
        <v>277</v>
      </c>
      <c r="B92" t="s">
        <v>181</v>
      </c>
      <c r="C92" t="s">
        <v>278</v>
      </c>
      <c r="D92" s="12">
        <v>1</v>
      </c>
      <c r="E92" t="s">
        <v>254</v>
      </c>
      <c r="F92" t="s">
        <v>255</v>
      </c>
      <c r="G92" t="s">
        <v>256</v>
      </c>
      <c r="H92" t="s">
        <v>257</v>
      </c>
    </row>
    <row r="93" spans="1:8">
      <c r="A93" t="s">
        <v>279</v>
      </c>
      <c r="B93" t="s">
        <v>181</v>
      </c>
      <c r="C93" t="s">
        <v>280</v>
      </c>
      <c r="D93" s="12">
        <v>0.5</v>
      </c>
      <c r="E93" t="s">
        <v>281</v>
      </c>
      <c r="F93" t="s">
        <v>255</v>
      </c>
      <c r="G93" t="s">
        <v>256</v>
      </c>
      <c r="H93" t="s">
        <v>257</v>
      </c>
    </row>
    <row r="94" spans="1:8">
      <c r="A94" t="s">
        <v>142</v>
      </c>
      <c r="B94" t="s">
        <v>170</v>
      </c>
      <c r="C94" t="s">
        <v>282</v>
      </c>
      <c r="D94">
        <v>50</v>
      </c>
    </row>
    <row r="95" spans="1:8">
      <c r="A95" t="s">
        <v>283</v>
      </c>
      <c r="B95" t="s">
        <v>181</v>
      </c>
      <c r="C95" t="s">
        <v>284</v>
      </c>
      <c r="D95" s="12">
        <v>1</v>
      </c>
    </row>
    <row r="96" spans="1:8">
      <c r="A96" t="s">
        <v>285</v>
      </c>
      <c r="B96" t="s">
        <v>181</v>
      </c>
      <c r="C96" t="s">
        <v>286</v>
      </c>
      <c r="D96" s="12">
        <v>2</v>
      </c>
    </row>
    <row r="97" spans="1:9">
      <c r="A97" t="s">
        <v>287</v>
      </c>
      <c r="B97" t="s">
        <v>181</v>
      </c>
      <c r="C97" t="s">
        <v>288</v>
      </c>
      <c r="D97" s="12">
        <v>0.5</v>
      </c>
      <c r="E97" t="s">
        <v>281</v>
      </c>
      <c r="F97" t="s">
        <v>255</v>
      </c>
      <c r="G97" t="s">
        <v>256</v>
      </c>
      <c r="H97" t="s">
        <v>257</v>
      </c>
    </row>
    <row r="98" spans="1:9">
      <c r="A98" t="s">
        <v>289</v>
      </c>
      <c r="B98" t="s">
        <v>181</v>
      </c>
      <c r="C98" t="s">
        <v>290</v>
      </c>
      <c r="D98" s="12">
        <v>1</v>
      </c>
    </row>
    <row r="99" spans="1:9">
      <c r="A99" t="s">
        <v>291</v>
      </c>
      <c r="B99" t="s">
        <v>181</v>
      </c>
      <c r="C99" t="s">
        <v>292</v>
      </c>
      <c r="D99" s="12">
        <v>1</v>
      </c>
      <c r="E99" t="s">
        <v>293</v>
      </c>
      <c r="F99" t="s">
        <v>294</v>
      </c>
      <c r="G99" t="s">
        <v>262</v>
      </c>
      <c r="H99" t="s">
        <v>295</v>
      </c>
    </row>
    <row r="100" spans="1:9">
      <c r="A100" t="s">
        <v>296</v>
      </c>
      <c r="B100" t="s">
        <v>181</v>
      </c>
      <c r="C100" t="s">
        <v>297</v>
      </c>
      <c r="D100" s="12">
        <v>0.5</v>
      </c>
      <c r="E100" t="s">
        <v>281</v>
      </c>
      <c r="F100" t="s">
        <v>255</v>
      </c>
      <c r="G100" t="s">
        <v>256</v>
      </c>
      <c r="H100" t="s">
        <v>257</v>
      </c>
    </row>
    <row r="101" spans="1:9">
      <c r="A101" t="s">
        <v>298</v>
      </c>
      <c r="B101" t="s">
        <v>181</v>
      </c>
      <c r="C101" t="s">
        <v>299</v>
      </c>
      <c r="D101" s="12">
        <v>3</v>
      </c>
    </row>
    <row r="102" spans="1:9">
      <c r="A102" t="s">
        <v>300</v>
      </c>
      <c r="B102" t="s">
        <v>181</v>
      </c>
      <c r="C102" t="s">
        <v>301</v>
      </c>
      <c r="D102" s="12">
        <v>0.5</v>
      </c>
      <c r="E102" t="s">
        <v>302</v>
      </c>
      <c r="F102" t="s">
        <v>303</v>
      </c>
      <c r="G102" t="s">
        <v>304</v>
      </c>
      <c r="H102" t="s">
        <v>305</v>
      </c>
    </row>
    <row r="103" spans="1:9">
      <c r="A103" t="s">
        <v>306</v>
      </c>
      <c r="B103" t="s">
        <v>181</v>
      </c>
      <c r="C103" t="s">
        <v>307</v>
      </c>
      <c r="D103" s="12">
        <v>1</v>
      </c>
      <c r="E103" t="s">
        <v>293</v>
      </c>
      <c r="F103" t="s">
        <v>294</v>
      </c>
      <c r="G103" t="s">
        <v>262</v>
      </c>
      <c r="H103" t="s">
        <v>295</v>
      </c>
    </row>
    <row r="104" spans="1:9">
      <c r="A104" t="s">
        <v>308</v>
      </c>
      <c r="B104" t="s">
        <v>181</v>
      </c>
      <c r="C104" t="s">
        <v>309</v>
      </c>
      <c r="D104" s="12">
        <v>0.5</v>
      </c>
      <c r="E104" t="s">
        <v>281</v>
      </c>
      <c r="F104" t="s">
        <v>255</v>
      </c>
      <c r="G104" t="s">
        <v>256</v>
      </c>
      <c r="H104" t="s">
        <v>257</v>
      </c>
    </row>
    <row r="105" spans="1:9">
      <c r="A105" t="s">
        <v>310</v>
      </c>
      <c r="B105" t="s">
        <v>181</v>
      </c>
      <c r="C105" t="s">
        <v>311</v>
      </c>
      <c r="D105" s="12">
        <v>1</v>
      </c>
      <c r="E105" t="s">
        <v>293</v>
      </c>
      <c r="F105" t="s">
        <v>294</v>
      </c>
      <c r="G105" t="s">
        <v>262</v>
      </c>
      <c r="H105" t="s">
        <v>295</v>
      </c>
      <c r="I105" t="s">
        <v>312</v>
      </c>
    </row>
    <row r="106" spans="1:9">
      <c r="A106" t="s">
        <v>313</v>
      </c>
      <c r="B106" t="s">
        <v>181</v>
      </c>
      <c r="C106" t="s">
        <v>314</v>
      </c>
      <c r="D106" s="12">
        <v>0.5</v>
      </c>
      <c r="E106" t="s">
        <v>281</v>
      </c>
      <c r="F106" t="s">
        <v>255</v>
      </c>
      <c r="G106" t="s">
        <v>256</v>
      </c>
      <c r="H106" t="s">
        <v>257</v>
      </c>
      <c r="I106" t="s">
        <v>315</v>
      </c>
    </row>
    <row r="116" spans="1:3">
      <c r="A116" t="s">
        <v>69</v>
      </c>
      <c r="B116" t="s">
        <v>181</v>
      </c>
      <c r="C116" t="s">
        <v>316</v>
      </c>
    </row>
    <row r="117" spans="1:3">
      <c r="A117" t="s">
        <v>72</v>
      </c>
      <c r="B117" t="s">
        <v>181</v>
      </c>
      <c r="C117" t="s">
        <v>317</v>
      </c>
    </row>
  </sheetData>
  <mergeCells count="8">
    <mergeCell ref="L17:M17"/>
    <mergeCell ref="A3:A6"/>
    <mergeCell ref="A9:A12"/>
    <mergeCell ref="A16:A18"/>
    <mergeCell ref="A21:A22"/>
    <mergeCell ref="A25:A26"/>
    <mergeCell ref="A28:A29"/>
    <mergeCell ref="A32:A33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7"/>
  <sheetViews>
    <sheetView workbookViewId="0">
      <selection activeCell="E44" sqref="E44"/>
    </sheetView>
  </sheetViews>
  <sheetFormatPr defaultColWidth="9" defaultRowHeight="13.5"/>
  <cols>
    <col min="1" max="7" width="12.6666666666667" customWidth="1"/>
  </cols>
  <sheetData>
    <row r="1" spans="1:19">
      <c r="A1" t="s">
        <v>13</v>
      </c>
      <c r="B1">
        <v>50</v>
      </c>
      <c r="O1" t="s">
        <v>85</v>
      </c>
      <c r="P1" t="s">
        <v>318</v>
      </c>
      <c r="Q1" t="s">
        <v>166</v>
      </c>
      <c r="R1" t="s">
        <v>319</v>
      </c>
      <c r="S1" t="s">
        <v>320</v>
      </c>
    </row>
    <row r="2" spans="1:19">
      <c r="A2" t="s">
        <v>321</v>
      </c>
      <c r="B2" s="2" t="s">
        <v>322</v>
      </c>
      <c r="C2" s="2"/>
      <c r="D2" t="s">
        <v>323</v>
      </c>
      <c r="E2" s="2" t="s">
        <v>324</v>
      </c>
      <c r="F2" s="2"/>
      <c r="G2" t="s">
        <v>323</v>
      </c>
      <c r="O2" t="s">
        <v>325</v>
      </c>
      <c r="P2" t="s">
        <v>326</v>
      </c>
      <c r="Q2" t="s">
        <v>327</v>
      </c>
      <c r="S2" s="20" t="s">
        <v>328</v>
      </c>
    </row>
    <row r="3" spans="1:19">
      <c r="A3">
        <v>12</v>
      </c>
      <c r="B3" t="s">
        <v>88</v>
      </c>
      <c r="C3">
        <v>60</v>
      </c>
      <c r="D3">
        <v>5</v>
      </c>
      <c r="E3" t="s">
        <v>88</v>
      </c>
      <c r="F3">
        <v>24</v>
      </c>
      <c r="G3">
        <v>2</v>
      </c>
      <c r="H3" t="s">
        <v>88</v>
      </c>
      <c r="I3">
        <f>C3+F3*($B$1-1)</f>
        <v>1236</v>
      </c>
      <c r="J3">
        <f>I3/A3</f>
        <v>103</v>
      </c>
      <c r="O3" t="s">
        <v>329</v>
      </c>
      <c r="P3" t="s">
        <v>330</v>
      </c>
      <c r="Q3" t="s">
        <v>331</v>
      </c>
      <c r="R3" t="s">
        <v>332</v>
      </c>
      <c r="S3" s="20" t="s">
        <v>333</v>
      </c>
    </row>
    <row r="4" spans="1:19">
      <c r="A4">
        <v>2</v>
      </c>
      <c r="B4" t="s">
        <v>89</v>
      </c>
      <c r="C4">
        <v>16</v>
      </c>
      <c r="D4">
        <v>8</v>
      </c>
      <c r="E4" t="s">
        <v>89</v>
      </c>
      <c r="F4">
        <v>8</v>
      </c>
      <c r="G4">
        <v>4</v>
      </c>
      <c r="H4" t="s">
        <v>89</v>
      </c>
      <c r="I4">
        <f t="shared" ref="I4:I8" si="0">C4+F4*($B$1-1)</f>
        <v>408</v>
      </c>
      <c r="J4">
        <f t="shared" ref="J4:J8" si="1">I4/A4</f>
        <v>204</v>
      </c>
      <c r="O4" t="s">
        <v>334</v>
      </c>
      <c r="P4" t="s">
        <v>335</v>
      </c>
      <c r="Q4" t="s">
        <v>336</v>
      </c>
      <c r="R4" t="s">
        <v>337</v>
      </c>
      <c r="S4" s="20" t="s">
        <v>338</v>
      </c>
    </row>
    <row r="5" spans="1:19">
      <c r="A5">
        <v>2</v>
      </c>
      <c r="B5" t="s">
        <v>90</v>
      </c>
      <c r="C5">
        <v>10</v>
      </c>
      <c r="D5">
        <v>5</v>
      </c>
      <c r="E5" t="s">
        <v>90</v>
      </c>
      <c r="F5">
        <v>4</v>
      </c>
      <c r="G5">
        <v>2</v>
      </c>
      <c r="H5" t="s">
        <v>90</v>
      </c>
      <c r="I5">
        <f t="shared" si="0"/>
        <v>206</v>
      </c>
      <c r="J5">
        <f t="shared" si="1"/>
        <v>103</v>
      </c>
      <c r="O5" t="s">
        <v>339</v>
      </c>
      <c r="P5" t="s">
        <v>8</v>
      </c>
      <c r="Q5" t="s">
        <v>340</v>
      </c>
      <c r="S5" s="20" t="s">
        <v>341</v>
      </c>
    </row>
    <row r="6" spans="1:19">
      <c r="A6">
        <v>2</v>
      </c>
      <c r="B6" t="s">
        <v>91</v>
      </c>
      <c r="C6">
        <v>10</v>
      </c>
      <c r="D6">
        <v>5</v>
      </c>
      <c r="E6" t="s">
        <v>91</v>
      </c>
      <c r="F6">
        <v>2</v>
      </c>
      <c r="G6">
        <v>1</v>
      </c>
      <c r="H6" t="s">
        <v>91</v>
      </c>
      <c r="I6">
        <f t="shared" si="0"/>
        <v>108</v>
      </c>
      <c r="J6">
        <f t="shared" si="1"/>
        <v>54</v>
      </c>
      <c r="L6" s="2"/>
      <c r="M6" s="2"/>
    </row>
    <row r="7" spans="1:19">
      <c r="A7">
        <v>2</v>
      </c>
      <c r="B7" t="s">
        <v>92</v>
      </c>
      <c r="C7">
        <v>10</v>
      </c>
      <c r="D7">
        <v>5</v>
      </c>
      <c r="E7" t="s">
        <v>92</v>
      </c>
      <c r="F7">
        <v>2</v>
      </c>
      <c r="G7">
        <v>1</v>
      </c>
      <c r="H7" t="s">
        <v>92</v>
      </c>
      <c r="I7">
        <f t="shared" si="0"/>
        <v>108</v>
      </c>
      <c r="J7">
        <f t="shared" si="1"/>
        <v>54</v>
      </c>
      <c r="L7" s="2"/>
      <c r="M7" s="2"/>
    </row>
    <row r="8" spans="1:19">
      <c r="A8">
        <v>2</v>
      </c>
      <c r="B8" t="s">
        <v>93</v>
      </c>
      <c r="C8">
        <v>10</v>
      </c>
      <c r="D8">
        <v>5</v>
      </c>
      <c r="E8" t="s">
        <v>93</v>
      </c>
      <c r="F8">
        <v>2</v>
      </c>
      <c r="G8">
        <v>1</v>
      </c>
      <c r="H8" t="s">
        <v>93</v>
      </c>
      <c r="I8">
        <f t="shared" si="0"/>
        <v>108</v>
      </c>
      <c r="J8">
        <f t="shared" si="1"/>
        <v>54</v>
      </c>
      <c r="L8" s="2"/>
      <c r="M8" s="2"/>
    </row>
    <row r="9" spans="1:19">
      <c r="D9">
        <f>SUM(D3:D8)</f>
        <v>33</v>
      </c>
      <c r="G9">
        <f>SUM(G3:G8)</f>
        <v>11</v>
      </c>
      <c r="J9">
        <f>SUM(J3:J8)</f>
        <v>572</v>
      </c>
      <c r="Q9" s="2"/>
    </row>
    <row r="13" spans="1:19">
      <c r="Q13" s="13"/>
    </row>
    <row r="14" spans="1:19">
      <c r="A14" t="s">
        <v>1</v>
      </c>
      <c r="B14" t="s">
        <v>342</v>
      </c>
      <c r="C14" t="s">
        <v>343</v>
      </c>
      <c r="D14" t="s">
        <v>344</v>
      </c>
      <c r="E14" t="s">
        <v>345</v>
      </c>
      <c r="Q14" s="13"/>
    </row>
    <row r="15" spans="1:19">
      <c r="A15" t="s">
        <v>13</v>
      </c>
      <c r="B15">
        <f>D9+G9*49</f>
        <v>572</v>
      </c>
      <c r="C15">
        <v>120</v>
      </c>
      <c r="D15" s="14">
        <f t="shared" ref="D15:D20" si="2">ROUND(C15/$C$21,2)</f>
        <v>0.31</v>
      </c>
      <c r="E15" t="s">
        <v>346</v>
      </c>
      <c r="Q15" s="2"/>
    </row>
    <row r="16" spans="1:19">
      <c r="A16" t="s">
        <v>20</v>
      </c>
      <c r="C16">
        <v>120</v>
      </c>
      <c r="D16" s="14">
        <f t="shared" si="2"/>
        <v>0.31</v>
      </c>
      <c r="E16" t="s">
        <v>347</v>
      </c>
      <c r="Q16" s="13"/>
    </row>
    <row r="17" spans="1:17">
      <c r="A17" t="s">
        <v>25</v>
      </c>
      <c r="C17">
        <v>60</v>
      </c>
      <c r="D17" s="14">
        <f t="shared" si="2"/>
        <v>0.15</v>
      </c>
      <c r="E17" t="s">
        <v>348</v>
      </c>
      <c r="Q17" s="13"/>
    </row>
    <row r="18" spans="1:17">
      <c r="A18" t="s">
        <v>30</v>
      </c>
      <c r="C18">
        <v>30</v>
      </c>
      <c r="D18" s="14">
        <f t="shared" si="2"/>
        <v>0.08</v>
      </c>
      <c r="E18" t="s">
        <v>349</v>
      </c>
    </row>
    <row r="19" spans="1:17">
      <c r="A19" t="s">
        <v>35</v>
      </c>
      <c r="C19">
        <v>30</v>
      </c>
      <c r="D19" s="14">
        <f t="shared" si="2"/>
        <v>0.08</v>
      </c>
      <c r="E19" t="s">
        <v>349</v>
      </c>
    </row>
    <row r="20" spans="1:17">
      <c r="A20" t="s">
        <v>39</v>
      </c>
      <c r="C20">
        <v>30</v>
      </c>
      <c r="D20" s="14">
        <f t="shared" si="2"/>
        <v>0.08</v>
      </c>
      <c r="E20" t="s">
        <v>350</v>
      </c>
      <c r="Q20" s="13"/>
    </row>
    <row r="21" spans="1:17">
      <c r="C21">
        <f>SUM(C15:C20)</f>
        <v>390</v>
      </c>
    </row>
    <row r="22" spans="1:17">
      <c r="B22" t="s">
        <v>351</v>
      </c>
      <c r="C22">
        <f>B15/D15</f>
        <v>1845.16129032258</v>
      </c>
      <c r="Q22" s="2"/>
    </row>
    <row r="27" spans="1:17">
      <c r="Q27" s="2"/>
    </row>
    <row r="31" spans="1:17">
      <c r="Q31" s="2"/>
    </row>
    <row r="38" spans="17:17">
      <c r="Q38" s="2"/>
    </row>
    <row r="41" spans="17:17">
      <c r="Q41" s="2"/>
    </row>
    <row r="49" spans="12:13">
      <c r="L49" s="2"/>
      <c r="M49" s="2"/>
    </row>
    <row r="50" spans="12:13">
      <c r="L50" s="2"/>
      <c r="M50" s="2"/>
    </row>
    <row r="51" spans="12:13">
      <c r="L51" s="2"/>
      <c r="M51" s="2"/>
    </row>
    <row r="52" spans="12:13">
      <c r="L52" s="2"/>
      <c r="M52" s="2"/>
    </row>
    <row r="53" spans="12:13">
      <c r="L53" s="2"/>
      <c r="M53" s="2"/>
    </row>
    <row r="54" spans="12:13">
      <c r="L54" s="2"/>
      <c r="M54" s="2"/>
    </row>
    <row r="55" spans="12:13">
      <c r="L55" s="2"/>
      <c r="M55" s="2"/>
    </row>
    <row r="56" spans="12:13">
      <c r="L56" s="2"/>
      <c r="M56" s="2"/>
    </row>
    <row r="57" spans="12:13">
      <c r="L57" s="2"/>
      <c r="M57" s="2"/>
    </row>
    <row r="58" spans="12:13">
      <c r="L58" s="2"/>
      <c r="M58" s="2"/>
    </row>
    <row r="59" spans="12:13">
      <c r="L59" s="2"/>
      <c r="M59" s="2"/>
    </row>
    <row r="60" spans="12:13">
      <c r="L60" s="2"/>
      <c r="M60" s="2"/>
    </row>
    <row r="61" spans="12:13">
      <c r="L61" s="2"/>
      <c r="M61" s="2"/>
    </row>
    <row r="62" spans="12:13">
      <c r="L62" s="2"/>
      <c r="M62" s="2"/>
    </row>
    <row r="63" spans="12:13">
      <c r="L63" s="2"/>
      <c r="M63" s="2"/>
    </row>
    <row r="64" spans="12:13">
      <c r="L64" s="2"/>
      <c r="M64" s="2"/>
    </row>
    <row r="65" spans="11:28">
      <c r="L65" s="2"/>
      <c r="M65" s="2"/>
    </row>
    <row r="66" spans="11:28">
      <c r="L66" s="2" t="s">
        <v>352</v>
      </c>
      <c r="M66" s="2"/>
      <c r="N66" s="2"/>
      <c r="O66" s="2"/>
      <c r="P66" s="2"/>
      <c r="Q66" s="2"/>
      <c r="R66" s="2"/>
      <c r="S66" s="2"/>
      <c r="T66" s="2"/>
    </row>
    <row r="67" spans="11:28">
      <c r="M67" s="2"/>
      <c r="N67" s="2"/>
    </row>
    <row r="68" spans="11:28">
      <c r="M68" s="2"/>
      <c r="N68" s="2"/>
    </row>
    <row r="69" spans="11:28">
      <c r="M69" s="2"/>
      <c r="N69" s="2"/>
      <c r="O69" t="s">
        <v>353</v>
      </c>
    </row>
    <row r="70" spans="11:28">
      <c r="M70" s="2" t="s">
        <v>354</v>
      </c>
      <c r="N70" s="2"/>
      <c r="O70" t="s">
        <v>355</v>
      </c>
    </row>
    <row r="71" spans="11:28">
      <c r="M71" s="2" t="s">
        <v>354</v>
      </c>
      <c r="N71" s="2"/>
      <c r="O71" t="s">
        <v>356</v>
      </c>
    </row>
    <row r="72" spans="11:28">
      <c r="M72" s="2" t="s">
        <v>354</v>
      </c>
      <c r="N72" s="2"/>
      <c r="O72" t="s">
        <v>357</v>
      </c>
    </row>
    <row r="73" spans="11:28">
      <c r="M73" s="2" t="s">
        <v>354</v>
      </c>
      <c r="N73" s="2"/>
      <c r="O73" t="s">
        <v>358</v>
      </c>
    </row>
    <row r="74" spans="11:28">
      <c r="M74" s="2" t="s">
        <v>354</v>
      </c>
      <c r="N74" s="2"/>
      <c r="O74" t="s">
        <v>359</v>
      </c>
    </row>
    <row r="75" spans="11:28">
      <c r="M75" s="2" t="s">
        <v>354</v>
      </c>
      <c r="N75" s="2"/>
      <c r="O75" t="s">
        <v>360</v>
      </c>
    </row>
    <row r="76" spans="11:28">
      <c r="L76" s="2"/>
      <c r="M76" s="2"/>
      <c r="U76" t="s">
        <v>361</v>
      </c>
      <c r="V76" t="s">
        <v>362</v>
      </c>
      <c r="Z76" t="s">
        <v>363</v>
      </c>
      <c r="AA76" t="s">
        <v>364</v>
      </c>
      <c r="AB76" t="s">
        <v>365</v>
      </c>
    </row>
    <row r="77" spans="11:28">
      <c r="L77" s="2"/>
      <c r="M77" s="2"/>
    </row>
    <row r="78" spans="11:28">
      <c r="L78" s="2"/>
      <c r="M78" s="2"/>
    </row>
    <row r="79" spans="11:28">
      <c r="L79" s="2"/>
      <c r="M79" s="2"/>
      <c r="N79" t="s">
        <v>366</v>
      </c>
    </row>
    <row r="80" spans="11:28">
      <c r="K80" t="s">
        <v>367</v>
      </c>
      <c r="L80" s="2"/>
      <c r="M80" s="2"/>
    </row>
    <row r="81" spans="11:20">
      <c r="K81" t="s">
        <v>368</v>
      </c>
      <c r="L81" s="2"/>
      <c r="M81" s="2"/>
    </row>
    <row r="82" spans="11:20">
      <c r="L82" s="2"/>
      <c r="M82" s="2"/>
    </row>
    <row r="83" ht="14.4" customHeight="1" spans="11:20">
      <c r="K83" t="s">
        <v>113</v>
      </c>
      <c r="L83" s="2" t="s">
        <v>181</v>
      </c>
      <c r="M83" s="2"/>
      <c r="N83" s="12">
        <v>0.5</v>
      </c>
      <c r="O83" s="15" t="s">
        <v>369</v>
      </c>
      <c r="P83" s="16"/>
      <c r="Q83" s="16"/>
      <c r="R83" s="16"/>
      <c r="S83" s="16"/>
      <c r="T83" s="16"/>
    </row>
    <row r="84" spans="11:20">
      <c r="K84" t="s">
        <v>122</v>
      </c>
      <c r="L84" s="2" t="s">
        <v>181</v>
      </c>
      <c r="M84" s="2"/>
    </row>
    <row r="85" spans="11:20">
      <c r="K85" t="s">
        <v>370</v>
      </c>
      <c r="L85" s="2" t="s">
        <v>170</v>
      </c>
      <c r="M85" s="2"/>
    </row>
    <row r="86" spans="11:20">
      <c r="L86" s="2"/>
      <c r="M86" s="2"/>
    </row>
    <row r="87" spans="11:20">
      <c r="L87" s="2"/>
      <c r="M87" s="2"/>
    </row>
    <row r="88" spans="11:20">
      <c r="K88" t="s">
        <v>133</v>
      </c>
      <c r="L88" s="2"/>
      <c r="M88" s="2"/>
      <c r="N88" t="s">
        <v>371</v>
      </c>
    </row>
    <row r="89" spans="11:20">
      <c r="L89" s="2"/>
      <c r="M89" s="2"/>
    </row>
    <row r="201" spans="12:13">
      <c r="L201" s="2"/>
      <c r="M201" s="2"/>
    </row>
    <row r="202" spans="12:13">
      <c r="L202" s="2"/>
      <c r="M202" s="2"/>
    </row>
    <row r="203" spans="12:13">
      <c r="L203" s="2"/>
      <c r="M203" s="2"/>
    </row>
    <row r="204" spans="12:13">
      <c r="L204" s="2"/>
      <c r="M204" s="2"/>
    </row>
    <row r="205" spans="12:13">
      <c r="L205" s="2"/>
      <c r="M205" s="2"/>
    </row>
    <row r="206" spans="12:13">
      <c r="L206" s="2"/>
      <c r="M206" s="2"/>
    </row>
    <row r="207" spans="12:13">
      <c r="L207" s="2"/>
      <c r="M207" s="2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6:AB40"/>
  <sheetViews>
    <sheetView tabSelected="1" topLeftCell="A10" workbookViewId="0">
      <selection activeCell="G16" sqref="G16:M40"/>
    </sheetView>
  </sheetViews>
  <sheetFormatPr defaultColWidth="9" defaultRowHeight="13.5"/>
  <cols>
    <col min="7" max="12" width="8.66666666666667" customWidth="1"/>
  </cols>
  <sheetData>
    <row r="16" spans="7:8">
      <c r="G16" t="s">
        <v>372</v>
      </c>
      <c r="H16" t="s">
        <v>373</v>
      </c>
    </row>
    <row r="17" spans="1:18">
      <c r="G17" t="s">
        <v>196</v>
      </c>
      <c r="H17" t="s">
        <v>374</v>
      </c>
      <c r="I17" t="s">
        <v>375</v>
      </c>
      <c r="J17" t="s">
        <v>376</v>
      </c>
    </row>
    <row r="18" spans="1:18">
      <c r="G18" t="s">
        <v>200</v>
      </c>
      <c r="H18" t="s">
        <v>377</v>
      </c>
      <c r="I18" t="s">
        <v>378</v>
      </c>
      <c r="J18" t="s">
        <v>379</v>
      </c>
    </row>
    <row r="19" spans="1:18">
      <c r="G19" t="s">
        <v>204</v>
      </c>
      <c r="H19" t="s">
        <v>380</v>
      </c>
      <c r="I19" t="s">
        <v>381</v>
      </c>
      <c r="J19" t="s">
        <v>204</v>
      </c>
    </row>
    <row r="20" spans="1:18">
      <c r="G20" t="s">
        <v>382</v>
      </c>
      <c r="H20" t="s">
        <v>383</v>
      </c>
      <c r="I20" t="s">
        <v>384</v>
      </c>
      <c r="J20" t="s">
        <v>385</v>
      </c>
    </row>
    <row r="21" spans="1:18">
      <c r="G21" t="s">
        <v>23</v>
      </c>
    </row>
    <row r="22" spans="1:18">
      <c r="G22" t="s">
        <v>217</v>
      </c>
    </row>
    <row r="25" spans="1:18">
      <c r="A25" t="s">
        <v>386</v>
      </c>
      <c r="B25" t="s">
        <v>387</v>
      </c>
      <c r="C25" t="s">
        <v>388</v>
      </c>
      <c r="D25" t="s">
        <v>389</v>
      </c>
      <c r="H25" t="s">
        <v>390</v>
      </c>
    </row>
    <row r="26" spans="1:18">
      <c r="A26" t="s">
        <v>391</v>
      </c>
      <c r="B26">
        <v>3</v>
      </c>
      <c r="C26" t="s">
        <v>160</v>
      </c>
      <c r="D26">
        <v>1</v>
      </c>
      <c r="H26" t="s">
        <v>392</v>
      </c>
      <c r="Q26" t="s">
        <v>393</v>
      </c>
    </row>
    <row r="27" spans="1:18">
      <c r="A27" t="s">
        <v>394</v>
      </c>
      <c r="B27">
        <v>6</v>
      </c>
      <c r="C27" t="s">
        <v>161</v>
      </c>
      <c r="D27">
        <v>2</v>
      </c>
      <c r="G27" t="s">
        <v>374</v>
      </c>
      <c r="H27" t="s">
        <v>89</v>
      </c>
      <c r="I27" s="12">
        <v>0.85</v>
      </c>
      <c r="J27" t="s">
        <v>107</v>
      </c>
      <c r="K27" s="12">
        <v>0.1</v>
      </c>
      <c r="L27" t="s">
        <v>395</v>
      </c>
      <c r="R27" t="s">
        <v>396</v>
      </c>
    </row>
    <row r="28" spans="1:18">
      <c r="A28" t="s">
        <v>397</v>
      </c>
      <c r="B28">
        <v>9</v>
      </c>
      <c r="C28" t="s">
        <v>162</v>
      </c>
      <c r="D28">
        <v>3</v>
      </c>
      <c r="G28" t="s">
        <v>375</v>
      </c>
      <c r="H28" t="s">
        <v>89</v>
      </c>
      <c r="I28" s="12">
        <v>1</v>
      </c>
      <c r="J28" t="s">
        <v>107</v>
      </c>
      <c r="K28" s="12">
        <v>0</v>
      </c>
      <c r="L28" t="s">
        <v>275</v>
      </c>
      <c r="Q28" t="s">
        <v>398</v>
      </c>
      <c r="R28" s="12">
        <v>0.1</v>
      </c>
    </row>
    <row r="29" spans="1:18">
      <c r="A29" t="s">
        <v>399</v>
      </c>
      <c r="B29">
        <v>12</v>
      </c>
      <c r="C29" t="s">
        <v>163</v>
      </c>
      <c r="D29">
        <v>4</v>
      </c>
      <c r="G29" t="s">
        <v>376</v>
      </c>
      <c r="H29" t="s">
        <v>89</v>
      </c>
      <c r="I29" s="12">
        <v>1.15</v>
      </c>
      <c r="J29" t="s">
        <v>107</v>
      </c>
      <c r="K29" s="12">
        <v>-0.1</v>
      </c>
      <c r="L29" t="s">
        <v>400</v>
      </c>
      <c r="Q29" t="s">
        <v>398</v>
      </c>
      <c r="R29" s="12">
        <v>0.13</v>
      </c>
    </row>
    <row r="30" spans="1:18">
      <c r="A30" t="s">
        <v>401</v>
      </c>
      <c r="B30">
        <v>15</v>
      </c>
      <c r="C30" t="s">
        <v>164</v>
      </c>
      <c r="D30">
        <v>5</v>
      </c>
      <c r="G30" t="s">
        <v>377</v>
      </c>
      <c r="H30" t="s">
        <v>90</v>
      </c>
      <c r="Q30" t="s">
        <v>398</v>
      </c>
      <c r="R30" s="12">
        <v>0.16</v>
      </c>
    </row>
    <row r="31" spans="1:18">
      <c r="G31" t="s">
        <v>378</v>
      </c>
      <c r="H31" t="s">
        <v>90</v>
      </c>
      <c r="Q31" t="s">
        <v>398</v>
      </c>
      <c r="R31" s="12">
        <v>0.06</v>
      </c>
    </row>
    <row r="32" spans="1:18">
      <c r="G32" t="s">
        <v>379</v>
      </c>
      <c r="H32" t="s">
        <v>90</v>
      </c>
      <c r="Q32" t="s">
        <v>398</v>
      </c>
      <c r="R32" s="12">
        <v>0.08</v>
      </c>
    </row>
    <row r="33" spans="1:28">
      <c r="A33" s="2" t="s">
        <v>393</v>
      </c>
      <c r="B33" s="2"/>
      <c r="C33" s="2"/>
      <c r="D33" s="2"/>
      <c r="G33" t="s">
        <v>380</v>
      </c>
      <c r="H33" t="s">
        <v>88</v>
      </c>
      <c r="Q33" t="s">
        <v>398</v>
      </c>
      <c r="R33" s="12">
        <v>0.1</v>
      </c>
    </row>
    <row r="34" spans="1:28">
      <c r="A34">
        <v>1</v>
      </c>
      <c r="B34" t="s">
        <v>402</v>
      </c>
      <c r="G34" t="s">
        <v>381</v>
      </c>
      <c r="H34" t="s">
        <v>88</v>
      </c>
      <c r="Q34" t="s">
        <v>398</v>
      </c>
      <c r="R34" s="12">
        <v>0.06</v>
      </c>
    </row>
    <row r="35" spans="1:28">
      <c r="A35">
        <v>2</v>
      </c>
      <c r="B35" t="s">
        <v>330</v>
      </c>
      <c r="G35" t="s">
        <v>204</v>
      </c>
      <c r="H35" t="s">
        <v>88</v>
      </c>
      <c r="Q35" t="s">
        <v>398</v>
      </c>
      <c r="R35" s="12">
        <v>0.08</v>
      </c>
    </row>
    <row r="36" spans="1:28">
      <c r="A36">
        <v>3</v>
      </c>
      <c r="B36" t="s">
        <v>403</v>
      </c>
      <c r="G36" t="s">
        <v>383</v>
      </c>
      <c r="H36" t="s">
        <v>93</v>
      </c>
      <c r="I36" s="12">
        <v>1.15</v>
      </c>
      <c r="J36" t="s">
        <v>62</v>
      </c>
      <c r="L36" t="s">
        <v>77</v>
      </c>
      <c r="Q36" t="s">
        <v>398</v>
      </c>
      <c r="R36" s="12">
        <v>0.1</v>
      </c>
    </row>
    <row r="37" spans="1:28">
      <c r="A37">
        <v>4</v>
      </c>
      <c r="B37" t="s">
        <v>404</v>
      </c>
      <c r="G37" t="s">
        <v>384</v>
      </c>
      <c r="H37" t="s">
        <v>93</v>
      </c>
      <c r="I37" s="12">
        <v>1</v>
      </c>
    </row>
    <row r="38" spans="1:28">
      <c r="A38">
        <v>5</v>
      </c>
      <c r="B38" t="s">
        <v>405</v>
      </c>
      <c r="G38" t="s">
        <v>385</v>
      </c>
      <c r="H38" t="s">
        <v>93</v>
      </c>
      <c r="I38" s="12">
        <v>0.85</v>
      </c>
      <c r="R38" t="s">
        <v>16</v>
      </c>
      <c r="T38" t="s">
        <v>22</v>
      </c>
      <c r="V38" t="s">
        <v>115</v>
      </c>
      <c r="X38" t="s">
        <v>149</v>
      </c>
      <c r="Z38" t="s">
        <v>151</v>
      </c>
      <c r="AB38" t="s">
        <v>121</v>
      </c>
    </row>
    <row r="39" spans="1:28">
      <c r="G39" t="s">
        <v>212</v>
      </c>
    </row>
    <row r="40" spans="1:28">
      <c r="G40" t="s">
        <v>217</v>
      </c>
      <c r="H40" t="s">
        <v>31</v>
      </c>
      <c r="J40" t="s">
        <v>113</v>
      </c>
    </row>
  </sheetData>
  <mergeCells count="1">
    <mergeCell ref="A33:D3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E19" workbookViewId="0">
      <selection activeCell="AA55" sqref="T44:AA55"/>
    </sheetView>
  </sheetViews>
  <sheetFormatPr defaultColWidth="9" defaultRowHeight="13.5"/>
  <cols>
    <col min="1" max="4" width="9" style="2"/>
    <col min="5" max="5" width="86" customWidth="1"/>
    <col min="14" max="14" width="16" customWidth="1"/>
    <col min="15" max="20" width="10.625" style="2" customWidth="1"/>
    <col min="21" max="22" width="10.625" customWidth="1"/>
    <col min="23" max="34" width="10.625" style="2" customWidth="1"/>
  </cols>
  <sheetData>
    <row r="1" spans="1:25">
      <c r="A1" s="2" t="s">
        <v>221</v>
      </c>
      <c r="B1" s="2" t="s">
        <v>406</v>
      </c>
      <c r="C1" s="2" t="s">
        <v>318</v>
      </c>
      <c r="D1" s="2" t="s">
        <v>407</v>
      </c>
      <c r="E1" t="s">
        <v>166</v>
      </c>
    </row>
    <row r="4" spans="1:25">
      <c r="V4" s="2"/>
    </row>
    <row r="5" spans="1:25">
      <c r="V5" s="2"/>
    </row>
    <row r="6" spans="1:25">
      <c r="V6" s="2"/>
    </row>
    <row r="7" spans="1:25">
      <c r="V7" s="2"/>
    </row>
    <row r="8" spans="1:25">
      <c r="V8" s="2"/>
    </row>
    <row r="9" spans="1:25">
      <c r="V9" s="2"/>
    </row>
    <row r="10" spans="1:25">
      <c r="U10" t="s">
        <v>408</v>
      </c>
      <c r="V10" s="2" t="s">
        <v>409</v>
      </c>
      <c r="W10" s="2" t="s">
        <v>410</v>
      </c>
      <c r="Y10" s="2" t="s">
        <v>411</v>
      </c>
    </row>
    <row r="11" spans="1:25">
      <c r="V11" s="2"/>
    </row>
    <row r="12" spans="1:25">
      <c r="V12" s="2"/>
    </row>
    <row r="13" spans="1:25">
      <c r="V13" s="2"/>
    </row>
    <row r="14" spans="1:25">
      <c r="Q14" t="s">
        <v>412</v>
      </c>
      <c r="V14" s="2"/>
    </row>
    <row r="15" spans="1:25">
      <c r="Q15" t="s">
        <v>413</v>
      </c>
      <c r="V15" s="2"/>
    </row>
    <row r="16" spans="1:25">
      <c r="Q16" t="s">
        <v>414</v>
      </c>
      <c r="V16" s="2"/>
    </row>
    <row r="17" spans="1:34">
      <c r="Q17" t="s">
        <v>415</v>
      </c>
      <c r="R17" s="2">
        <v>1</v>
      </c>
      <c r="V17" s="2"/>
    </row>
    <row r="18" spans="1:34">
      <c r="Q18" t="s">
        <v>416</v>
      </c>
      <c r="R18" s="2">
        <v>2</v>
      </c>
      <c r="U18" t="s">
        <v>417</v>
      </c>
      <c r="V18" s="2"/>
    </row>
    <row r="19" spans="1:34">
      <c r="Q19" t="s">
        <v>418</v>
      </c>
      <c r="R19" s="2">
        <v>3</v>
      </c>
      <c r="U19" t="s">
        <v>221</v>
      </c>
      <c r="V19" s="2" t="s">
        <v>419</v>
      </c>
    </row>
    <row r="20" spans="1:34">
      <c r="U20" t="s">
        <v>420</v>
      </c>
      <c r="V20" s="2" t="s">
        <v>421</v>
      </c>
    </row>
    <row r="21" spans="1:34">
      <c r="U21" t="s">
        <v>422</v>
      </c>
      <c r="V21" s="2" t="s">
        <v>423</v>
      </c>
    </row>
    <row r="22" spans="1:34">
      <c r="A22" s="2" t="s">
        <v>424</v>
      </c>
      <c r="B22" s="2" t="s">
        <v>425</v>
      </c>
      <c r="C22" s="2" t="s">
        <v>426</v>
      </c>
      <c r="E22" t="s">
        <v>427</v>
      </c>
      <c r="U22" t="s">
        <v>428</v>
      </c>
      <c r="V22" s="2" t="s">
        <v>429</v>
      </c>
    </row>
    <row r="23" spans="1:34">
      <c r="A23" s="2" t="s">
        <v>424</v>
      </c>
      <c r="B23" s="2" t="s">
        <v>430</v>
      </c>
      <c r="C23" s="2" t="s">
        <v>426</v>
      </c>
      <c r="E23" t="s">
        <v>431</v>
      </c>
      <c r="J23" s="3"/>
      <c r="K23" s="3"/>
      <c r="L23" s="3"/>
      <c r="O23"/>
      <c r="P23"/>
      <c r="U23" t="s">
        <v>408</v>
      </c>
      <c r="V23" s="2" t="s">
        <v>432</v>
      </c>
    </row>
    <row r="24" spans="1:34">
      <c r="A24" s="2" t="s">
        <v>424</v>
      </c>
      <c r="B24" s="2" t="s">
        <v>433</v>
      </c>
      <c r="C24" s="2" t="s">
        <v>426</v>
      </c>
      <c r="E24" t="s">
        <v>434</v>
      </c>
      <c r="J24" s="3"/>
      <c r="K24" s="3"/>
      <c r="L24" s="3"/>
      <c r="O24"/>
      <c r="P24"/>
      <c r="U24" t="s">
        <v>435</v>
      </c>
      <c r="V24" s="2" t="s">
        <v>436</v>
      </c>
    </row>
    <row r="25" ht="15" spans="1:34">
      <c r="A25" s="2" t="s">
        <v>424</v>
      </c>
      <c r="B25" s="2" t="s">
        <v>437</v>
      </c>
      <c r="C25" s="2" t="s">
        <v>426</v>
      </c>
      <c r="E25" t="s">
        <v>438</v>
      </c>
      <c r="J25" s="3"/>
      <c r="K25" s="3"/>
      <c r="L25" s="3"/>
      <c r="O25"/>
      <c r="P25"/>
      <c r="V25" s="2"/>
    </row>
    <row r="26" spans="1:34">
      <c r="A26" s="2" t="s">
        <v>424</v>
      </c>
      <c r="B26" s="2" t="s">
        <v>439</v>
      </c>
      <c r="C26" s="2" t="s">
        <v>426</v>
      </c>
      <c r="E26" t="s">
        <v>440</v>
      </c>
      <c r="J26" s="3"/>
      <c r="K26" s="3"/>
      <c r="L26" s="3"/>
      <c r="O26"/>
      <c r="P26"/>
    </row>
    <row r="27" spans="1:34">
      <c r="A27" s="2" t="s">
        <v>424</v>
      </c>
      <c r="B27" s="2" t="s">
        <v>441</v>
      </c>
      <c r="C27" s="2" t="s">
        <v>426</v>
      </c>
      <c r="E27" t="s">
        <v>442</v>
      </c>
      <c r="J27" s="3"/>
      <c r="K27" s="3"/>
      <c r="L27" s="3"/>
      <c r="O27"/>
      <c r="P27"/>
    </row>
    <row r="28" spans="1:34">
      <c r="A28" s="2" t="s">
        <v>424</v>
      </c>
      <c r="B28" s="2" t="s">
        <v>443</v>
      </c>
      <c r="C28" s="2" t="s">
        <v>426</v>
      </c>
      <c r="E28" t="s">
        <v>444</v>
      </c>
      <c r="J28" s="3"/>
      <c r="K28" s="3"/>
      <c r="L28" s="3"/>
      <c r="O28" t="s">
        <v>445</v>
      </c>
      <c r="P28"/>
      <c r="Q28" s="4" t="s">
        <v>446</v>
      </c>
      <c r="R28" s="4"/>
      <c r="S28" s="4"/>
      <c r="T28" s="4"/>
      <c r="U28" s="4"/>
      <c r="V28" s="4"/>
      <c r="W28" s="2" t="s">
        <v>447</v>
      </c>
      <c r="Z28" s="5" t="s">
        <v>424</v>
      </c>
      <c r="AA28" s="5"/>
      <c r="AB28" s="5"/>
      <c r="AC28" s="2" t="s">
        <v>448</v>
      </c>
      <c r="AF28" s="2" t="s">
        <v>449</v>
      </c>
    </row>
    <row r="29" spans="1:34">
      <c r="A29" s="2" t="s">
        <v>424</v>
      </c>
      <c r="B29" s="2" t="s">
        <v>450</v>
      </c>
      <c r="C29" s="2" t="s">
        <v>426</v>
      </c>
      <c r="E29" t="s">
        <v>451</v>
      </c>
      <c r="J29" s="3"/>
      <c r="K29" s="3"/>
      <c r="L29" s="3"/>
      <c r="O29">
        <v>4</v>
      </c>
      <c r="P29" s="2" t="s">
        <v>325</v>
      </c>
      <c r="Q29" s="4" t="s">
        <v>88</v>
      </c>
      <c r="R29" s="4" t="s">
        <v>89</v>
      </c>
      <c r="S29" s="4" t="s">
        <v>90</v>
      </c>
      <c r="T29" s="4" t="s">
        <v>93</v>
      </c>
      <c r="U29" s="4" t="s">
        <v>91</v>
      </c>
      <c r="V29" s="4" t="s">
        <v>92</v>
      </c>
      <c r="W29" s="2" t="s">
        <v>452</v>
      </c>
      <c r="X29" s="2" t="s">
        <v>453</v>
      </c>
      <c r="Y29" s="2" t="s">
        <v>454</v>
      </c>
      <c r="Z29" s="2" t="s">
        <v>452</v>
      </c>
      <c r="AA29" s="2" t="s">
        <v>453</v>
      </c>
      <c r="AB29" s="2" t="s">
        <v>454</v>
      </c>
      <c r="AC29" s="2" t="s">
        <v>452</v>
      </c>
      <c r="AD29" s="2" t="s">
        <v>453</v>
      </c>
      <c r="AE29" s="2" t="s">
        <v>454</v>
      </c>
      <c r="AF29" s="2" t="s">
        <v>452</v>
      </c>
      <c r="AG29" s="2" t="s">
        <v>453</v>
      </c>
      <c r="AH29" s="2" t="s">
        <v>454</v>
      </c>
    </row>
    <row r="30" spans="1:34">
      <c r="A30" s="2" t="s">
        <v>424</v>
      </c>
      <c r="B30" s="2" t="s">
        <v>424</v>
      </c>
      <c r="C30" s="2" t="s">
        <v>426</v>
      </c>
      <c r="E30" t="s">
        <v>455</v>
      </c>
      <c r="J30" s="3"/>
      <c r="K30" s="3"/>
      <c r="L30" s="3"/>
      <c r="O30"/>
      <c r="P30" s="4"/>
      <c r="Q30" s="4" t="s">
        <v>456</v>
      </c>
      <c r="R30" s="4" t="s">
        <v>456</v>
      </c>
      <c r="S30" s="4" t="s">
        <v>456</v>
      </c>
      <c r="T30" s="4" t="s">
        <v>456</v>
      </c>
      <c r="U30" s="4" t="s">
        <v>456</v>
      </c>
      <c r="V30" s="4" t="s">
        <v>456</v>
      </c>
    </row>
    <row r="31" spans="1:34">
      <c r="A31" s="2" t="s">
        <v>424</v>
      </c>
      <c r="B31" s="2" t="s">
        <v>457</v>
      </c>
      <c r="C31" s="2" t="s">
        <v>426</v>
      </c>
      <c r="E31" t="s">
        <v>458</v>
      </c>
      <c r="J31" s="3"/>
      <c r="K31" s="3"/>
      <c r="L31" s="3"/>
      <c r="O31"/>
      <c r="P31" s="4"/>
      <c r="Q31" s="4" t="s">
        <v>459</v>
      </c>
      <c r="R31" s="4" t="s">
        <v>459</v>
      </c>
      <c r="S31" s="4" t="s">
        <v>459</v>
      </c>
      <c r="T31" s="4" t="s">
        <v>459</v>
      </c>
      <c r="U31" s="4" t="s">
        <v>459</v>
      </c>
      <c r="V31" s="4" t="s">
        <v>459</v>
      </c>
    </row>
    <row r="32" spans="1:34">
      <c r="A32" s="2" t="s">
        <v>424</v>
      </c>
      <c r="B32" s="2" t="s">
        <v>460</v>
      </c>
      <c r="C32" s="2" t="s">
        <v>461</v>
      </c>
      <c r="D32" s="2" t="s">
        <v>462</v>
      </c>
      <c r="E32" t="s">
        <v>463</v>
      </c>
      <c r="I32" s="3"/>
      <c r="J32" s="3"/>
      <c r="K32" s="3"/>
      <c r="L32" s="3"/>
      <c r="O32"/>
      <c r="P32" s="4"/>
      <c r="Q32" s="4"/>
      <c r="R32" s="4"/>
      <c r="S32" s="4"/>
      <c r="T32" s="4"/>
      <c r="U32" s="4"/>
      <c r="V32" s="4"/>
      <c r="W32" s="4"/>
      <c r="X32" s="4"/>
    </row>
    <row r="33" spans="1:34">
      <c r="A33" s="2" t="s">
        <v>424</v>
      </c>
      <c r="B33" s="2" t="s">
        <v>464</v>
      </c>
      <c r="C33" s="2" t="s">
        <v>461</v>
      </c>
      <c r="D33" s="2" t="s">
        <v>462</v>
      </c>
      <c r="E33" t="s">
        <v>465</v>
      </c>
      <c r="I33" s="3"/>
      <c r="J33" s="3"/>
      <c r="K33" s="3"/>
      <c r="L33" s="3"/>
      <c r="O33">
        <v>4</v>
      </c>
      <c r="P33" s="2" t="s">
        <v>329</v>
      </c>
      <c r="Q33" s="4" t="s">
        <v>95</v>
      </c>
      <c r="R33" s="4" t="s">
        <v>96</v>
      </c>
      <c r="S33" s="4" t="s">
        <v>97</v>
      </c>
      <c r="T33" s="4" t="s">
        <v>100</v>
      </c>
      <c r="U33" s="4" t="s">
        <v>98</v>
      </c>
      <c r="V33" s="4" t="s">
        <v>99</v>
      </c>
      <c r="W33" s="2" t="s">
        <v>79</v>
      </c>
      <c r="X33" s="4" t="s">
        <v>116</v>
      </c>
      <c r="Y33" s="4" t="s">
        <v>31</v>
      </c>
      <c r="Z33" s="2" t="s">
        <v>466</v>
      </c>
      <c r="AA33" s="2" t="s">
        <v>79</v>
      </c>
      <c r="AB33" s="2" t="s">
        <v>16</v>
      </c>
      <c r="AC33" s="2" t="s">
        <v>467</v>
      </c>
      <c r="AD33" s="2" t="s">
        <v>97</v>
      </c>
      <c r="AE33" s="2" t="s">
        <v>47</v>
      </c>
      <c r="AF33" s="2" t="s">
        <v>62</v>
      </c>
      <c r="AG33" s="2" t="s">
        <v>136</v>
      </c>
      <c r="AH33" s="2" t="s">
        <v>113</v>
      </c>
    </row>
    <row r="34" spans="1:34">
      <c r="A34" s="2" t="s">
        <v>424</v>
      </c>
      <c r="B34" s="2" t="s">
        <v>468</v>
      </c>
      <c r="C34" s="2" t="s">
        <v>461</v>
      </c>
      <c r="D34" s="2" t="s">
        <v>462</v>
      </c>
      <c r="E34" t="s">
        <v>469</v>
      </c>
      <c r="J34" s="3"/>
      <c r="K34" s="3"/>
      <c r="L34" s="3"/>
      <c r="O34"/>
      <c r="P34" s="4"/>
      <c r="Q34" s="4" t="s">
        <v>456</v>
      </c>
      <c r="R34" s="4" t="s">
        <v>456</v>
      </c>
      <c r="S34" s="4" t="s">
        <v>456</v>
      </c>
      <c r="T34" s="4" t="s">
        <v>456</v>
      </c>
      <c r="U34" s="4" t="s">
        <v>456</v>
      </c>
      <c r="V34" s="4" t="s">
        <v>456</v>
      </c>
      <c r="W34" s="2" t="s">
        <v>456</v>
      </c>
      <c r="X34" s="4" t="s">
        <v>456</v>
      </c>
      <c r="Y34" s="4" t="s">
        <v>456</v>
      </c>
      <c r="Z34" s="2" t="s">
        <v>456</v>
      </c>
      <c r="AA34" s="2" t="s">
        <v>456</v>
      </c>
      <c r="AB34" s="2" t="s">
        <v>456</v>
      </c>
      <c r="AC34" s="2" t="s">
        <v>456</v>
      </c>
      <c r="AD34" s="2" t="s">
        <v>456</v>
      </c>
      <c r="AE34" s="2" t="s">
        <v>456</v>
      </c>
      <c r="AF34" s="2" t="s">
        <v>456</v>
      </c>
      <c r="AG34" s="2" t="s">
        <v>456</v>
      </c>
      <c r="AH34" s="2" t="s">
        <v>456</v>
      </c>
    </row>
    <row r="35" spans="1:34">
      <c r="A35" s="2" t="s">
        <v>424</v>
      </c>
      <c r="B35" s="2" t="s">
        <v>470</v>
      </c>
      <c r="C35" s="2" t="s">
        <v>461</v>
      </c>
      <c r="D35" s="2" t="s">
        <v>462</v>
      </c>
      <c r="E35" t="s">
        <v>471</v>
      </c>
      <c r="J35" s="3"/>
      <c r="K35" s="3"/>
      <c r="L35" s="3"/>
      <c r="O35"/>
      <c r="P35" s="4"/>
      <c r="Q35" s="4" t="s">
        <v>472</v>
      </c>
      <c r="R35" s="4" t="s">
        <v>472</v>
      </c>
      <c r="S35" s="4" t="s">
        <v>472</v>
      </c>
      <c r="T35" s="4" t="s">
        <v>472</v>
      </c>
      <c r="U35" s="4" t="s">
        <v>472</v>
      </c>
      <c r="V35" s="4" t="s">
        <v>472</v>
      </c>
      <c r="W35" s="2" t="s">
        <v>473</v>
      </c>
      <c r="X35" s="4" t="s">
        <v>474</v>
      </c>
      <c r="Y35" s="4" t="s">
        <v>474</v>
      </c>
      <c r="Z35" s="2" t="s">
        <v>475</v>
      </c>
      <c r="AA35" s="2" t="s">
        <v>473</v>
      </c>
      <c r="AB35" s="2" t="s">
        <v>476</v>
      </c>
      <c r="AC35" s="2" t="s">
        <v>476</v>
      </c>
      <c r="AD35" s="2" t="s">
        <v>476</v>
      </c>
      <c r="AE35" s="2" t="s">
        <v>476</v>
      </c>
      <c r="AF35" s="2" t="s">
        <v>476</v>
      </c>
      <c r="AG35" s="2" t="s">
        <v>476</v>
      </c>
      <c r="AH35" s="2" t="s">
        <v>477</v>
      </c>
    </row>
    <row r="36" spans="1:34">
      <c r="A36" s="2" t="s">
        <v>424</v>
      </c>
      <c r="B36" s="2" t="s">
        <v>478</v>
      </c>
      <c r="C36" s="2" t="s">
        <v>461</v>
      </c>
      <c r="D36" s="2" t="s">
        <v>479</v>
      </c>
      <c r="E36" t="s">
        <v>480</v>
      </c>
      <c r="J36" s="3"/>
      <c r="K36" s="3"/>
      <c r="L36" s="3"/>
      <c r="O36"/>
      <c r="P36" s="4"/>
      <c r="Q36" s="4"/>
      <c r="R36" s="4"/>
      <c r="S36" s="4"/>
      <c r="T36" s="4"/>
      <c r="U36" s="4"/>
      <c r="V36" s="4"/>
      <c r="W36" s="4"/>
    </row>
    <row r="37" spans="1:34">
      <c r="A37" s="2" t="s">
        <v>424</v>
      </c>
      <c r="B37" s="2" t="s">
        <v>481</v>
      </c>
      <c r="C37" s="2" t="s">
        <v>461</v>
      </c>
      <c r="D37" s="2" t="s">
        <v>462</v>
      </c>
      <c r="E37" t="s">
        <v>482</v>
      </c>
      <c r="J37" s="3"/>
      <c r="K37" s="3"/>
      <c r="L37" s="3"/>
      <c r="O37">
        <v>4</v>
      </c>
      <c r="P37" s="2" t="s">
        <v>334</v>
      </c>
      <c r="Q37" s="4" t="s">
        <v>483</v>
      </c>
      <c r="R37" s="4" t="s">
        <v>66</v>
      </c>
      <c r="S37" s="4" t="s">
        <v>67</v>
      </c>
      <c r="T37" s="4" t="s">
        <v>484</v>
      </c>
      <c r="U37" s="4" t="s">
        <v>485</v>
      </c>
      <c r="V37" s="4"/>
      <c r="W37" s="2" t="s">
        <v>452</v>
      </c>
      <c r="X37" s="2" t="s">
        <v>453</v>
      </c>
      <c r="Z37" s="2" t="s">
        <v>452</v>
      </c>
      <c r="AA37" s="2" t="s">
        <v>453</v>
      </c>
      <c r="AC37" s="2" t="s">
        <v>452</v>
      </c>
      <c r="AD37" s="2" t="s">
        <v>453</v>
      </c>
      <c r="AF37" s="2" t="s">
        <v>452</v>
      </c>
      <c r="AG37" s="2" t="s">
        <v>453</v>
      </c>
    </row>
    <row r="38" spans="1:34">
      <c r="A38" s="2" t="s">
        <v>424</v>
      </c>
      <c r="B38" s="2" t="s">
        <v>486</v>
      </c>
      <c r="C38" s="2" t="s">
        <v>461</v>
      </c>
      <c r="D38" s="2" t="s">
        <v>487</v>
      </c>
      <c r="E38" t="s">
        <v>488</v>
      </c>
      <c r="J38" s="3"/>
      <c r="K38" s="3"/>
      <c r="L38" s="3"/>
      <c r="O38"/>
      <c r="P38" s="4"/>
      <c r="Q38" s="4" t="s">
        <v>456</v>
      </c>
      <c r="R38" s="4" t="s">
        <v>456</v>
      </c>
      <c r="S38" s="4" t="s">
        <v>456</v>
      </c>
      <c r="T38" s="4" t="s">
        <v>456</v>
      </c>
      <c r="U38" s="4" t="s">
        <v>456</v>
      </c>
      <c r="V38" s="4"/>
    </row>
    <row r="39" spans="1:34">
      <c r="A39" s="2" t="s">
        <v>424</v>
      </c>
      <c r="B39" s="2" t="s">
        <v>489</v>
      </c>
      <c r="C39" s="2" t="s">
        <v>461</v>
      </c>
      <c r="D39" s="2" t="s">
        <v>490</v>
      </c>
      <c r="E39" t="s">
        <v>491</v>
      </c>
      <c r="J39" s="3"/>
      <c r="K39" s="3"/>
      <c r="L39" s="3"/>
      <c r="O39"/>
      <c r="P39" s="4"/>
      <c r="Q39" s="4" t="s">
        <v>492</v>
      </c>
      <c r="R39" s="4" t="s">
        <v>476</v>
      </c>
      <c r="S39" s="4" t="s">
        <v>476</v>
      </c>
      <c r="T39" s="4" t="s">
        <v>476</v>
      </c>
      <c r="U39" s="4" t="s">
        <v>476</v>
      </c>
      <c r="V39" s="4"/>
    </row>
    <row r="40" spans="1:34">
      <c r="A40" s="2" t="s">
        <v>424</v>
      </c>
      <c r="B40" s="2" t="s">
        <v>493</v>
      </c>
      <c r="C40" s="2" t="s">
        <v>461</v>
      </c>
      <c r="D40" s="2" t="s">
        <v>462</v>
      </c>
      <c r="E40" t="s">
        <v>494</v>
      </c>
      <c r="J40" s="3"/>
      <c r="K40" s="3"/>
      <c r="L40" s="3"/>
      <c r="O40"/>
      <c r="P40" s="4"/>
      <c r="V40" s="4"/>
    </row>
    <row r="41" spans="1:34">
      <c r="A41" s="2" t="s">
        <v>424</v>
      </c>
      <c r="B41" s="2" t="s">
        <v>495</v>
      </c>
      <c r="C41" s="2" t="s">
        <v>461</v>
      </c>
      <c r="D41" s="2" t="s">
        <v>462</v>
      </c>
      <c r="E41" t="s">
        <v>496</v>
      </c>
      <c r="K41" s="3"/>
      <c r="L41" s="3"/>
      <c r="O41">
        <v>4</v>
      </c>
      <c r="P41" s="2" t="s">
        <v>339</v>
      </c>
      <c r="Q41" s="2" t="s">
        <v>497</v>
      </c>
      <c r="R41" s="2" t="s">
        <v>62</v>
      </c>
      <c r="S41" s="2" t="s">
        <v>149</v>
      </c>
      <c r="T41" s="2" t="s">
        <v>16</v>
      </c>
      <c r="V41" s="4"/>
      <c r="X41" s="2" t="s">
        <v>498</v>
      </c>
      <c r="AA41" s="2" t="s">
        <v>497</v>
      </c>
      <c r="AD41" s="2" t="s">
        <v>41</v>
      </c>
      <c r="AG41" s="2" t="s">
        <v>136</v>
      </c>
    </row>
    <row r="42" spans="1:34">
      <c r="A42" s="2" t="s">
        <v>424</v>
      </c>
      <c r="B42" s="2" t="s">
        <v>457</v>
      </c>
      <c r="C42" s="2" t="s">
        <v>499</v>
      </c>
      <c r="D42" s="2" t="s">
        <v>462</v>
      </c>
      <c r="E42" t="s">
        <v>500</v>
      </c>
      <c r="K42" s="3"/>
      <c r="L42" s="3"/>
      <c r="O42"/>
      <c r="P42" s="4"/>
      <c r="Q42" s="4" t="s">
        <v>456</v>
      </c>
      <c r="R42" s="4" t="s">
        <v>456</v>
      </c>
      <c r="S42" s="4" t="s">
        <v>456</v>
      </c>
      <c r="T42" s="4" t="s">
        <v>456</v>
      </c>
      <c r="U42" s="4"/>
      <c r="V42" s="4"/>
      <c r="X42" s="2" t="s">
        <v>456</v>
      </c>
      <c r="AA42" s="4" t="s">
        <v>456</v>
      </c>
      <c r="AD42" s="2" t="s">
        <v>456</v>
      </c>
      <c r="AG42" s="2" t="s">
        <v>456</v>
      </c>
    </row>
    <row r="43" spans="1:34">
      <c r="A43" s="2" t="s">
        <v>424</v>
      </c>
      <c r="B43" s="2" t="s">
        <v>501</v>
      </c>
      <c r="C43" s="2" t="s">
        <v>499</v>
      </c>
      <c r="D43" s="2" t="s">
        <v>502</v>
      </c>
      <c r="E43" t="s">
        <v>503</v>
      </c>
      <c r="O43" s="4"/>
      <c r="P43" s="4"/>
      <c r="Q43" s="4" t="s">
        <v>476</v>
      </c>
      <c r="R43" s="4" t="s">
        <v>476</v>
      </c>
      <c r="S43" s="4" t="s">
        <v>473</v>
      </c>
      <c r="T43" s="4" t="s">
        <v>476</v>
      </c>
      <c r="U43" s="4"/>
      <c r="V43" s="4"/>
      <c r="X43" s="2" t="s">
        <v>475</v>
      </c>
      <c r="AA43" s="4" t="s">
        <v>476</v>
      </c>
      <c r="AD43" s="2" t="s">
        <v>476</v>
      </c>
      <c r="AG43" s="2" t="s">
        <v>476</v>
      </c>
    </row>
    <row r="44" spans="1:34">
      <c r="A44" s="2" t="s">
        <v>424</v>
      </c>
      <c r="B44" s="2" t="s">
        <v>504</v>
      </c>
      <c r="C44" s="2" t="s">
        <v>499</v>
      </c>
      <c r="D44" s="2" t="s">
        <v>462</v>
      </c>
      <c r="E44" t="s">
        <v>505</v>
      </c>
      <c r="O44" s="4"/>
      <c r="P44" s="4"/>
      <c r="Q44" s="4"/>
      <c r="R44" s="4"/>
      <c r="S44" s="4"/>
      <c r="T44" s="4"/>
      <c r="U44" s="4"/>
      <c r="V44" s="4"/>
    </row>
    <row r="45" spans="1:34">
      <c r="A45" s="2" t="s">
        <v>424</v>
      </c>
      <c r="B45" s="2" t="s">
        <v>506</v>
      </c>
      <c r="C45" s="2" t="s">
        <v>499</v>
      </c>
      <c r="D45" s="2" t="s">
        <v>502</v>
      </c>
      <c r="E45" t="s">
        <v>507</v>
      </c>
      <c r="O45" s="6">
        <v>4</v>
      </c>
      <c r="P45" s="2" t="s">
        <v>508</v>
      </c>
      <c r="Q45" s="2" t="s">
        <v>102</v>
      </c>
      <c r="R45" s="4" t="s">
        <v>103</v>
      </c>
      <c r="S45" s="4" t="s">
        <v>104</v>
      </c>
      <c r="T45" s="4" t="s">
        <v>107</v>
      </c>
      <c r="U45" s="4" t="s">
        <v>105</v>
      </c>
      <c r="V45" s="4" t="s">
        <v>106</v>
      </c>
      <c r="X45" s="2" t="s">
        <v>107</v>
      </c>
      <c r="Z45" s="2" t="s">
        <v>149</v>
      </c>
      <c r="AA45" s="2" t="s">
        <v>107</v>
      </c>
      <c r="AC45" s="2" t="s">
        <v>136</v>
      </c>
      <c r="AD45" s="2" t="s">
        <v>95</v>
      </c>
      <c r="AE45" s="2" t="s">
        <v>66</v>
      </c>
      <c r="AF45" s="2" t="s">
        <v>107</v>
      </c>
      <c r="AG45" s="2" t="s">
        <v>99</v>
      </c>
      <c r="AH45" s="2" t="s">
        <v>100</v>
      </c>
    </row>
    <row r="46" spans="1:34">
      <c r="A46" s="2" t="s">
        <v>424</v>
      </c>
      <c r="B46" s="2" t="s">
        <v>509</v>
      </c>
      <c r="C46" s="2" t="s">
        <v>499</v>
      </c>
      <c r="D46" s="2" t="s">
        <v>479</v>
      </c>
      <c r="E46" t="s">
        <v>510</v>
      </c>
      <c r="O46" s="4"/>
      <c r="P46" s="4"/>
      <c r="Q46" s="4" t="s">
        <v>456</v>
      </c>
      <c r="R46" s="4" t="s">
        <v>456</v>
      </c>
      <c r="S46" s="4" t="s">
        <v>456</v>
      </c>
      <c r="T46" s="4" t="s">
        <v>456</v>
      </c>
      <c r="U46" s="4" t="s">
        <v>456</v>
      </c>
      <c r="V46" s="4" t="s">
        <v>456</v>
      </c>
      <c r="X46" s="2" t="s">
        <v>456</v>
      </c>
      <c r="Z46" s="2" t="s">
        <v>456</v>
      </c>
      <c r="AA46" s="2" t="s">
        <v>456</v>
      </c>
      <c r="AC46" s="2" t="s">
        <v>456</v>
      </c>
      <c r="AD46" s="2" t="s">
        <v>456</v>
      </c>
      <c r="AE46" s="2" t="s">
        <v>456</v>
      </c>
      <c r="AF46" s="2" t="s">
        <v>456</v>
      </c>
      <c r="AG46" s="2" t="s">
        <v>456</v>
      </c>
      <c r="AH46" s="2" t="s">
        <v>456</v>
      </c>
    </row>
    <row r="47" spans="1:34">
      <c r="A47" s="2" t="s">
        <v>424</v>
      </c>
      <c r="B47" s="2" t="s">
        <v>511</v>
      </c>
      <c r="C47" s="2" t="s">
        <v>499</v>
      </c>
      <c r="D47" s="2" t="s">
        <v>462</v>
      </c>
      <c r="E47" t="s">
        <v>512</v>
      </c>
      <c r="O47" s="4"/>
      <c r="P47" s="4"/>
      <c r="Q47" s="4" t="s">
        <v>513</v>
      </c>
      <c r="R47" s="4" t="s">
        <v>513</v>
      </c>
      <c r="S47" s="4" t="s">
        <v>513</v>
      </c>
      <c r="T47" s="4" t="s">
        <v>513</v>
      </c>
      <c r="U47" s="4" t="s">
        <v>513</v>
      </c>
      <c r="V47" s="4" t="s">
        <v>513</v>
      </c>
      <c r="X47" s="2" t="s">
        <v>514</v>
      </c>
      <c r="Z47" s="2" t="s">
        <v>476</v>
      </c>
      <c r="AA47" s="2" t="s">
        <v>514</v>
      </c>
      <c r="AC47" s="2" t="s">
        <v>476</v>
      </c>
      <c r="AD47" s="2" t="s">
        <v>475</v>
      </c>
      <c r="AE47" s="2" t="s">
        <v>476</v>
      </c>
      <c r="AF47" s="2" t="s">
        <v>514</v>
      </c>
      <c r="AG47" s="2" t="s">
        <v>475</v>
      </c>
      <c r="AH47" s="2" t="s">
        <v>514</v>
      </c>
    </row>
    <row r="48" spans="1:34">
      <c r="A48" s="2" t="s">
        <v>424</v>
      </c>
      <c r="B48" s="2" t="s">
        <v>515</v>
      </c>
      <c r="C48" s="2" t="s">
        <v>499</v>
      </c>
      <c r="D48" s="2" t="s">
        <v>516</v>
      </c>
      <c r="E48" t="s">
        <v>517</v>
      </c>
      <c r="O48"/>
      <c r="P48" s="4"/>
    </row>
    <row r="49" spans="1:34">
      <c r="A49" s="2" t="s">
        <v>424</v>
      </c>
      <c r="B49" s="2" t="s">
        <v>518</v>
      </c>
      <c r="C49" s="2" t="s">
        <v>499</v>
      </c>
      <c r="D49" s="2" t="s">
        <v>462</v>
      </c>
      <c r="E49" t="s">
        <v>519</v>
      </c>
      <c r="O49">
        <v>6</v>
      </c>
      <c r="P49" s="2" t="s">
        <v>520</v>
      </c>
      <c r="Q49" s="2" t="s">
        <v>308</v>
      </c>
      <c r="R49" s="2" t="s">
        <v>313</v>
      </c>
      <c r="S49" s="2" t="s">
        <v>300</v>
      </c>
      <c r="T49" s="2" t="s">
        <v>296</v>
      </c>
      <c r="W49" s="2" t="s">
        <v>452</v>
      </c>
      <c r="X49" s="2" t="s">
        <v>453</v>
      </c>
      <c r="Y49" s="2" t="s">
        <v>454</v>
      </c>
      <c r="Z49" s="2" t="s">
        <v>452</v>
      </c>
      <c r="AA49" s="2" t="s">
        <v>453</v>
      </c>
      <c r="AB49" s="2" t="s">
        <v>454</v>
      </c>
      <c r="AC49" s="2" t="s">
        <v>452</v>
      </c>
      <c r="AD49" s="2" t="s">
        <v>453</v>
      </c>
      <c r="AE49" s="2" t="s">
        <v>454</v>
      </c>
      <c r="AF49" s="2" t="s">
        <v>452</v>
      </c>
      <c r="AG49" s="2" t="s">
        <v>453</v>
      </c>
      <c r="AH49" s="2" t="s">
        <v>454</v>
      </c>
    </row>
    <row r="50" spans="1:34">
      <c r="A50" s="2" t="s">
        <v>424</v>
      </c>
      <c r="B50" s="2" t="s">
        <v>521</v>
      </c>
      <c r="C50" s="2" t="s">
        <v>499</v>
      </c>
      <c r="D50" s="2" t="s">
        <v>462</v>
      </c>
      <c r="E50" t="s">
        <v>522</v>
      </c>
      <c r="O50"/>
      <c r="P50" s="4"/>
      <c r="Q50" s="4" t="s">
        <v>456</v>
      </c>
      <c r="R50" s="4" t="s">
        <v>456</v>
      </c>
      <c r="S50" s="4" t="s">
        <v>456</v>
      </c>
      <c r="T50" s="4" t="s">
        <v>456</v>
      </c>
      <c r="U50" s="4"/>
      <c r="V50" s="4"/>
    </row>
    <row r="51" spans="1:34">
      <c r="A51" s="2" t="s">
        <v>424</v>
      </c>
      <c r="B51" s="2" t="s">
        <v>523</v>
      </c>
      <c r="C51" s="2" t="s">
        <v>499</v>
      </c>
      <c r="D51" s="2" t="s">
        <v>502</v>
      </c>
      <c r="E51" t="s">
        <v>524</v>
      </c>
      <c r="O51"/>
      <c r="P51" s="4"/>
      <c r="Q51" s="4" t="s">
        <v>476</v>
      </c>
      <c r="R51" s="4" t="s">
        <v>476</v>
      </c>
      <c r="S51" s="4" t="s">
        <v>476</v>
      </c>
      <c r="T51" s="4" t="s">
        <v>476</v>
      </c>
    </row>
    <row r="52" spans="1:34">
      <c r="A52" s="2" t="s">
        <v>448</v>
      </c>
      <c r="B52" s="2" t="s">
        <v>525</v>
      </c>
      <c r="C52" s="2" t="s">
        <v>426</v>
      </c>
      <c r="E52" t="s">
        <v>526</v>
      </c>
      <c r="O52"/>
      <c r="P52" s="4"/>
    </row>
    <row r="53" spans="1:34">
      <c r="A53" s="2" t="s">
        <v>448</v>
      </c>
      <c r="B53" s="2" t="s">
        <v>527</v>
      </c>
      <c r="C53" s="2" t="s">
        <v>426</v>
      </c>
      <c r="E53" t="s">
        <v>528</v>
      </c>
      <c r="O53">
        <v>6</v>
      </c>
      <c r="P53" s="2" t="s">
        <v>529</v>
      </c>
      <c r="Q53" s="4" t="s">
        <v>88</v>
      </c>
      <c r="R53" s="4" t="s">
        <v>89</v>
      </c>
      <c r="S53" s="4" t="s">
        <v>90</v>
      </c>
      <c r="T53" s="4" t="s">
        <v>93</v>
      </c>
      <c r="U53" s="4" t="s">
        <v>91</v>
      </c>
      <c r="V53" s="4" t="s">
        <v>92</v>
      </c>
      <c r="W53" s="2" t="s">
        <v>31</v>
      </c>
      <c r="X53" s="2" t="s">
        <v>121</v>
      </c>
      <c r="Z53" s="2" t="s">
        <v>466</v>
      </c>
      <c r="AA53" s="2" t="s">
        <v>16</v>
      </c>
      <c r="AB53" s="2" t="s">
        <v>530</v>
      </c>
      <c r="AC53" s="2" t="s">
        <v>129</v>
      </c>
      <c r="AD53" s="2" t="s">
        <v>102</v>
      </c>
      <c r="AE53" s="2" t="s">
        <v>531</v>
      </c>
      <c r="AF53" s="2" t="s">
        <v>62</v>
      </c>
      <c r="AG53" s="2" t="s">
        <v>106</v>
      </c>
      <c r="AH53" s="2" t="s">
        <v>113</v>
      </c>
    </row>
    <row r="54" spans="1:34">
      <c r="A54" s="2" t="s">
        <v>448</v>
      </c>
      <c r="B54" s="2" t="s">
        <v>448</v>
      </c>
      <c r="C54" s="2" t="s">
        <v>426</v>
      </c>
      <c r="E54" t="s">
        <v>532</v>
      </c>
      <c r="G54" s="3"/>
      <c r="H54" s="3"/>
      <c r="I54" s="3"/>
      <c r="J54" s="3"/>
      <c r="O54"/>
      <c r="P54" s="4"/>
      <c r="Q54" s="4" t="s">
        <v>533</v>
      </c>
      <c r="R54" s="4" t="s">
        <v>533</v>
      </c>
      <c r="S54" s="4" t="s">
        <v>533</v>
      </c>
      <c r="T54" s="4" t="s">
        <v>533</v>
      </c>
      <c r="U54" s="4" t="s">
        <v>533</v>
      </c>
      <c r="V54" s="4" t="s">
        <v>533</v>
      </c>
      <c r="W54" s="2" t="s">
        <v>533</v>
      </c>
      <c r="X54" s="2" t="s">
        <v>456</v>
      </c>
      <c r="Z54" s="2" t="s">
        <v>456</v>
      </c>
      <c r="AA54" s="2" t="s">
        <v>456</v>
      </c>
      <c r="AB54" s="2" t="s">
        <v>533</v>
      </c>
      <c r="AC54" s="2" t="s">
        <v>456</v>
      </c>
      <c r="AD54" s="2" t="s">
        <v>533</v>
      </c>
      <c r="AE54" s="2" t="s">
        <v>533</v>
      </c>
      <c r="AF54" s="2" t="s">
        <v>456</v>
      </c>
      <c r="AG54" s="2" t="s">
        <v>533</v>
      </c>
    </row>
    <row r="55" spans="1:34">
      <c r="A55" s="2" t="s">
        <v>448</v>
      </c>
      <c r="B55" s="2" t="s">
        <v>534</v>
      </c>
      <c r="C55" s="2" t="s">
        <v>426</v>
      </c>
      <c r="E55" t="s">
        <v>535</v>
      </c>
      <c r="G55" s="3"/>
      <c r="H55" s="3"/>
      <c r="I55" s="3"/>
      <c r="J55" s="3"/>
      <c r="O55"/>
      <c r="P55" s="4"/>
      <c r="Q55" s="4" t="s">
        <v>536</v>
      </c>
      <c r="R55" s="4" t="s">
        <v>537</v>
      </c>
      <c r="S55" s="4" t="s">
        <v>537</v>
      </c>
      <c r="T55" s="4" t="s">
        <v>537</v>
      </c>
      <c r="U55" s="4" t="s">
        <v>537</v>
      </c>
      <c r="V55" s="4" t="s">
        <v>537</v>
      </c>
      <c r="W55" s="2" t="s">
        <v>537</v>
      </c>
      <c r="X55" s="2" t="s">
        <v>514</v>
      </c>
      <c r="Z55" s="2" t="s">
        <v>537</v>
      </c>
      <c r="AA55" s="2" t="s">
        <v>514</v>
      </c>
      <c r="AB55" s="2" t="s">
        <v>538</v>
      </c>
      <c r="AC55" s="2" t="s">
        <v>477</v>
      </c>
      <c r="AD55" s="2" t="s">
        <v>539</v>
      </c>
      <c r="AE55" s="2" t="s">
        <v>539</v>
      </c>
      <c r="AF55" s="2" t="s">
        <v>538</v>
      </c>
      <c r="AG55" s="2" t="s">
        <v>539</v>
      </c>
    </row>
    <row r="56" spans="1:34">
      <c r="A56" s="2" t="s">
        <v>448</v>
      </c>
      <c r="B56" s="2" t="s">
        <v>540</v>
      </c>
      <c r="C56" s="2" t="s">
        <v>426</v>
      </c>
      <c r="E56" t="s">
        <v>541</v>
      </c>
      <c r="G56" s="3"/>
      <c r="H56" s="3"/>
      <c r="I56" s="3"/>
      <c r="J56" s="3"/>
      <c r="O56"/>
      <c r="P56" s="4"/>
    </row>
    <row r="57" spans="1:34">
      <c r="A57" s="2" t="s">
        <v>448</v>
      </c>
      <c r="B57" s="2" t="s">
        <v>542</v>
      </c>
      <c r="C57" s="2" t="s">
        <v>426</v>
      </c>
      <c r="E57" t="s">
        <v>543</v>
      </c>
      <c r="G57" s="3"/>
      <c r="H57" s="3"/>
      <c r="I57" s="3"/>
      <c r="J57" s="3"/>
      <c r="O57">
        <v>6</v>
      </c>
      <c r="P57" s="2" t="s">
        <v>544</v>
      </c>
      <c r="Q57" s="2" t="s">
        <v>119</v>
      </c>
      <c r="R57" s="2" t="s">
        <v>545</v>
      </c>
      <c r="W57" s="2" t="s">
        <v>452</v>
      </c>
      <c r="X57" s="2" t="s">
        <v>453</v>
      </c>
      <c r="Z57" s="2" t="s">
        <v>452</v>
      </c>
      <c r="AA57" s="2" t="s">
        <v>453</v>
      </c>
      <c r="AC57" s="2" t="s">
        <v>452</v>
      </c>
      <c r="AD57" s="2" t="s">
        <v>453</v>
      </c>
      <c r="AF57" s="2" t="s">
        <v>452</v>
      </c>
      <c r="AG57" s="2" t="s">
        <v>453</v>
      </c>
    </row>
    <row r="58" spans="1:34">
      <c r="A58" s="2" t="s">
        <v>448</v>
      </c>
      <c r="B58" s="2" t="s">
        <v>546</v>
      </c>
      <c r="C58" s="2" t="s">
        <v>426</v>
      </c>
      <c r="E58" t="s">
        <v>547</v>
      </c>
      <c r="G58" s="3"/>
      <c r="H58" s="3"/>
      <c r="I58" s="3"/>
      <c r="J58" s="3"/>
      <c r="O58"/>
      <c r="P58" s="4"/>
      <c r="Q58" s="2" t="s">
        <v>533</v>
      </c>
      <c r="R58" s="2" t="s">
        <v>533</v>
      </c>
    </row>
    <row r="59" spans="1:34">
      <c r="A59" s="2" t="s">
        <v>448</v>
      </c>
      <c r="B59" s="2" t="s">
        <v>548</v>
      </c>
      <c r="C59" s="2" t="s">
        <v>426</v>
      </c>
      <c r="E59" t="s">
        <v>549</v>
      </c>
      <c r="G59" s="3"/>
      <c r="H59" s="3"/>
      <c r="I59" s="3"/>
      <c r="J59" s="3"/>
      <c r="O59"/>
      <c r="P59" s="4"/>
      <c r="Q59" s="2" t="s">
        <v>550</v>
      </c>
      <c r="R59" s="2" t="s">
        <v>538</v>
      </c>
    </row>
    <row r="60" spans="1:34">
      <c r="A60" s="2" t="s">
        <v>448</v>
      </c>
      <c r="B60" s="2" t="s">
        <v>551</v>
      </c>
      <c r="C60" s="2" t="s">
        <v>426</v>
      </c>
      <c r="E60" t="s">
        <v>552</v>
      </c>
      <c r="G60" s="3"/>
      <c r="H60" s="3"/>
      <c r="I60" s="3"/>
      <c r="J60" s="3"/>
      <c r="O60"/>
      <c r="P60" s="4"/>
    </row>
    <row r="61" spans="1:34">
      <c r="A61" s="2" t="s">
        <v>448</v>
      </c>
      <c r="B61" s="2" t="s">
        <v>553</v>
      </c>
      <c r="C61" s="2" t="s">
        <v>426</v>
      </c>
      <c r="E61" t="s">
        <v>554</v>
      </c>
      <c r="G61" s="3"/>
      <c r="H61" s="3"/>
      <c r="I61" s="3"/>
      <c r="J61" s="3"/>
      <c r="O61">
        <v>6</v>
      </c>
      <c r="P61" s="2" t="s">
        <v>555</v>
      </c>
      <c r="Q61" s="2" t="s">
        <v>398</v>
      </c>
      <c r="R61" s="2" t="s">
        <v>556</v>
      </c>
      <c r="S61" s="2" t="s">
        <v>557</v>
      </c>
      <c r="W61" s="2" t="s">
        <v>558</v>
      </c>
      <c r="Z61" s="2" t="s">
        <v>103</v>
      </c>
      <c r="AC61" s="2" t="s">
        <v>66</v>
      </c>
      <c r="AD61" s="2" t="s">
        <v>559</v>
      </c>
    </row>
    <row r="62" spans="1:34">
      <c r="A62" s="2" t="s">
        <v>448</v>
      </c>
      <c r="B62" s="2" t="s">
        <v>560</v>
      </c>
      <c r="C62" s="2" t="s">
        <v>461</v>
      </c>
      <c r="D62" s="2" t="s">
        <v>561</v>
      </c>
      <c r="E62" t="s">
        <v>562</v>
      </c>
      <c r="F62" s="3"/>
      <c r="H62" s="3"/>
      <c r="I62" s="3"/>
      <c r="J62" s="3"/>
      <c r="O62"/>
      <c r="P62" s="4"/>
      <c r="Q62" s="2">
        <v>2</v>
      </c>
      <c r="R62" s="2">
        <v>2</v>
      </c>
      <c r="S62" s="2">
        <v>2</v>
      </c>
      <c r="W62" s="2" t="s">
        <v>533</v>
      </c>
      <c r="Z62" s="2" t="s">
        <v>533</v>
      </c>
      <c r="AC62" s="2" t="s">
        <v>533</v>
      </c>
      <c r="AD62" s="2" t="s">
        <v>533</v>
      </c>
    </row>
    <row r="63" spans="1:34">
      <c r="A63" s="2" t="s">
        <v>448</v>
      </c>
      <c r="B63" s="2" t="s">
        <v>563</v>
      </c>
      <c r="C63" s="2" t="s">
        <v>461</v>
      </c>
      <c r="D63" s="2" t="s">
        <v>502</v>
      </c>
      <c r="E63" t="s">
        <v>564</v>
      </c>
      <c r="F63" s="3"/>
      <c r="H63" s="3"/>
      <c r="I63" s="3"/>
      <c r="O63"/>
      <c r="P63" s="4"/>
      <c r="Q63" s="2">
        <v>8</v>
      </c>
      <c r="R63" s="2">
        <v>20</v>
      </c>
      <c r="S63" s="7">
        <v>0.2</v>
      </c>
      <c r="W63" s="2" t="s">
        <v>539</v>
      </c>
      <c r="Z63" s="2" t="s">
        <v>539</v>
      </c>
      <c r="AC63" s="2" t="s">
        <v>539</v>
      </c>
      <c r="AD63" s="2" t="s">
        <v>565</v>
      </c>
    </row>
    <row r="64" spans="1:34">
      <c r="A64" s="2" t="s">
        <v>448</v>
      </c>
      <c r="B64" s="2" t="s">
        <v>566</v>
      </c>
      <c r="C64" s="2" t="s">
        <v>461</v>
      </c>
      <c r="D64" s="2" t="s">
        <v>462</v>
      </c>
      <c r="E64" t="s">
        <v>567</v>
      </c>
      <c r="F64" s="3"/>
      <c r="H64" s="3"/>
      <c r="I64" s="3"/>
      <c r="O64"/>
      <c r="P64" s="4"/>
    </row>
    <row r="65" spans="1:33">
      <c r="A65" s="2" t="s">
        <v>448</v>
      </c>
      <c r="B65" s="2" t="s">
        <v>568</v>
      </c>
      <c r="C65" s="2" t="s">
        <v>461</v>
      </c>
      <c r="D65" s="2" t="s">
        <v>462</v>
      </c>
      <c r="E65" t="s">
        <v>569</v>
      </c>
      <c r="F65" s="3"/>
      <c r="H65" s="3"/>
      <c r="I65" s="3"/>
      <c r="O65">
        <v>6</v>
      </c>
      <c r="P65" s="2" t="s">
        <v>570</v>
      </c>
      <c r="Q65" s="2" t="s">
        <v>130</v>
      </c>
      <c r="R65" s="2" t="s">
        <v>109</v>
      </c>
      <c r="S65" s="2" t="s">
        <v>110</v>
      </c>
      <c r="X65" s="2" t="s">
        <v>149</v>
      </c>
      <c r="AA65" s="2" t="s">
        <v>556</v>
      </c>
      <c r="AF65" s="2" t="s">
        <v>571</v>
      </c>
      <c r="AG65" s="2" t="s">
        <v>122</v>
      </c>
    </row>
    <row r="66" spans="1:33">
      <c r="A66" s="2" t="s">
        <v>448</v>
      </c>
      <c r="B66" s="2" t="s">
        <v>572</v>
      </c>
      <c r="C66" s="2" t="s">
        <v>461</v>
      </c>
      <c r="D66" s="2" t="s">
        <v>561</v>
      </c>
      <c r="E66" t="s">
        <v>573</v>
      </c>
      <c r="F66" s="3"/>
      <c r="H66" s="3"/>
      <c r="I66" s="3"/>
      <c r="Q66" s="2" t="s">
        <v>533</v>
      </c>
      <c r="R66" s="2" t="s">
        <v>533</v>
      </c>
      <c r="S66" s="2" t="s">
        <v>533</v>
      </c>
      <c r="X66" s="2" t="s">
        <v>533</v>
      </c>
      <c r="AA66" s="2" t="s">
        <v>533</v>
      </c>
      <c r="AG66" s="2" t="s">
        <v>533</v>
      </c>
    </row>
    <row r="67" spans="1:33">
      <c r="A67" s="2" t="s">
        <v>448</v>
      </c>
      <c r="B67" s="2" t="s">
        <v>574</v>
      </c>
      <c r="C67" s="2" t="s">
        <v>461</v>
      </c>
      <c r="E67" t="s">
        <v>575</v>
      </c>
      <c r="F67" s="3"/>
      <c r="H67" s="3"/>
      <c r="I67" s="3"/>
      <c r="Q67" s="2" t="s">
        <v>477</v>
      </c>
      <c r="R67" s="2" t="s">
        <v>539</v>
      </c>
      <c r="S67" s="2" t="s">
        <v>539</v>
      </c>
      <c r="X67" s="2" t="s">
        <v>477</v>
      </c>
      <c r="AA67" s="2" t="s">
        <v>539</v>
      </c>
      <c r="AG67" s="2" t="s">
        <v>576</v>
      </c>
    </row>
    <row r="68" spans="1:33">
      <c r="A68" s="2" t="s">
        <v>448</v>
      </c>
      <c r="B68" s="2" t="s">
        <v>577</v>
      </c>
      <c r="C68" s="2" t="s">
        <v>461</v>
      </c>
      <c r="D68" s="2" t="s">
        <v>462</v>
      </c>
      <c r="E68" t="s">
        <v>578</v>
      </c>
      <c r="F68" s="3"/>
      <c r="H68" s="3"/>
      <c r="I68" s="3"/>
    </row>
    <row r="69" spans="1:33">
      <c r="A69" s="2" t="s">
        <v>448</v>
      </c>
      <c r="B69" s="2" t="s">
        <v>579</v>
      </c>
      <c r="C69" s="2" t="s">
        <v>461</v>
      </c>
      <c r="D69" s="2" t="s">
        <v>462</v>
      </c>
      <c r="E69" t="s">
        <v>580</v>
      </c>
      <c r="F69" s="3"/>
      <c r="H69" s="3"/>
      <c r="I69" s="3"/>
    </row>
    <row r="70" spans="1:33">
      <c r="A70" s="2" t="s">
        <v>448</v>
      </c>
      <c r="B70" s="2" t="s">
        <v>581</v>
      </c>
      <c r="C70" s="2" t="s">
        <v>461</v>
      </c>
      <c r="D70" s="2" t="s">
        <v>462</v>
      </c>
      <c r="E70" t="s">
        <v>582</v>
      </c>
      <c r="F70" s="3"/>
      <c r="H70" s="3"/>
      <c r="I70" s="3"/>
    </row>
    <row r="71" spans="1:33">
      <c r="A71" s="2" t="s">
        <v>448</v>
      </c>
      <c r="B71" s="2" t="s">
        <v>583</v>
      </c>
      <c r="C71" s="2" t="s">
        <v>461</v>
      </c>
      <c r="D71" s="2" t="s">
        <v>502</v>
      </c>
      <c r="E71" t="s">
        <v>584</v>
      </c>
      <c r="F71" s="3"/>
      <c r="H71" s="3"/>
      <c r="I71" s="3"/>
    </row>
    <row r="72" spans="1:33">
      <c r="A72" s="2" t="s">
        <v>448</v>
      </c>
      <c r="B72" s="2" t="s">
        <v>585</v>
      </c>
      <c r="C72" s="2" t="s">
        <v>499</v>
      </c>
      <c r="D72" s="2" t="s">
        <v>502</v>
      </c>
      <c r="E72" t="s">
        <v>586</v>
      </c>
      <c r="F72" s="3"/>
      <c r="H72" s="3"/>
      <c r="I72" s="3"/>
    </row>
    <row r="73" spans="1:33">
      <c r="A73" s="2" t="s">
        <v>448</v>
      </c>
      <c r="B73" s="2" t="s">
        <v>587</v>
      </c>
      <c r="C73" s="2" t="s">
        <v>499</v>
      </c>
      <c r="E73" t="s">
        <v>588</v>
      </c>
      <c r="F73" s="3"/>
      <c r="H73" s="3"/>
      <c r="I73" s="3"/>
    </row>
    <row r="74" spans="1:33">
      <c r="A74" s="2" t="s">
        <v>448</v>
      </c>
      <c r="B74" s="2" t="s">
        <v>589</v>
      </c>
      <c r="C74" s="2" t="s">
        <v>499</v>
      </c>
      <c r="E74" t="s">
        <v>590</v>
      </c>
      <c r="F74" s="3"/>
      <c r="H74" s="3"/>
      <c r="I74" s="3"/>
      <c r="Q74" t="s">
        <v>591</v>
      </c>
      <c r="R74"/>
    </row>
    <row r="75" spans="1:33">
      <c r="A75" s="2" t="s">
        <v>448</v>
      </c>
      <c r="B75" s="2" t="s">
        <v>592</v>
      </c>
      <c r="C75" s="2" t="s">
        <v>499</v>
      </c>
      <c r="D75" s="2" t="s">
        <v>502</v>
      </c>
      <c r="E75" t="s">
        <v>593</v>
      </c>
      <c r="F75" s="3"/>
      <c r="H75" s="3"/>
      <c r="I75" s="3"/>
      <c r="Q75" t="s">
        <v>594</v>
      </c>
      <c r="R75"/>
    </row>
    <row r="76" spans="1:33">
      <c r="A76" s="2" t="s">
        <v>448</v>
      </c>
      <c r="B76" s="2" t="s">
        <v>595</v>
      </c>
      <c r="C76" s="2" t="s">
        <v>499</v>
      </c>
      <c r="D76" s="2" t="s">
        <v>502</v>
      </c>
      <c r="E76" t="s">
        <v>596</v>
      </c>
      <c r="F76" s="3"/>
      <c r="H76" s="3"/>
      <c r="I76" s="3"/>
      <c r="Q76" t="s">
        <v>597</v>
      </c>
      <c r="R76"/>
    </row>
    <row r="77" spans="1:33">
      <c r="A77" s="2" t="s">
        <v>448</v>
      </c>
      <c r="B77" s="2" t="s">
        <v>598</v>
      </c>
      <c r="C77" s="2" t="s">
        <v>499</v>
      </c>
      <c r="D77" s="2" t="s">
        <v>561</v>
      </c>
      <c r="E77" t="s">
        <v>599</v>
      </c>
      <c r="F77" s="3"/>
      <c r="H77" s="3"/>
      <c r="I77" s="3"/>
      <c r="Q77" t="s">
        <v>600</v>
      </c>
      <c r="R77"/>
    </row>
    <row r="78" spans="1:33">
      <c r="A78" s="2" t="s">
        <v>448</v>
      </c>
      <c r="B78" s="2" t="s">
        <v>601</v>
      </c>
      <c r="C78" s="2" t="s">
        <v>499</v>
      </c>
      <c r="D78" s="2" t="s">
        <v>516</v>
      </c>
      <c r="E78" t="s">
        <v>602</v>
      </c>
      <c r="F78" s="3"/>
      <c r="H78" s="3"/>
      <c r="I78" s="3"/>
      <c r="Q78" t="s">
        <v>221</v>
      </c>
      <c r="R78" t="s">
        <v>603</v>
      </c>
      <c r="S78" s="2" t="s">
        <v>604</v>
      </c>
      <c r="U78" t="s">
        <v>605</v>
      </c>
    </row>
    <row r="79" spans="1:33">
      <c r="A79" s="2" t="s">
        <v>448</v>
      </c>
      <c r="B79" s="2" t="s">
        <v>606</v>
      </c>
      <c r="C79" s="2" t="s">
        <v>499</v>
      </c>
      <c r="D79" s="2" t="s">
        <v>462</v>
      </c>
      <c r="E79" t="s">
        <v>607</v>
      </c>
      <c r="Q79" t="s">
        <v>420</v>
      </c>
      <c r="R79" t="s">
        <v>608</v>
      </c>
      <c r="S79" s="2" t="s">
        <v>609</v>
      </c>
      <c r="U79" t="s">
        <v>610</v>
      </c>
    </row>
    <row r="80" spans="1:33">
      <c r="A80" s="2" t="s">
        <v>448</v>
      </c>
      <c r="B80" s="2" t="s">
        <v>611</v>
      </c>
      <c r="C80" s="2" t="s">
        <v>499</v>
      </c>
      <c r="D80" s="2" t="s">
        <v>561</v>
      </c>
      <c r="E80" t="s">
        <v>612</v>
      </c>
      <c r="Q80" t="s">
        <v>422</v>
      </c>
      <c r="R80" t="s">
        <v>608</v>
      </c>
      <c r="S80" s="2" t="s">
        <v>613</v>
      </c>
      <c r="U80" t="s">
        <v>614</v>
      </c>
    </row>
    <row r="81" spans="1:21">
      <c r="A81" s="2" t="s">
        <v>448</v>
      </c>
      <c r="B81" s="2" t="s">
        <v>615</v>
      </c>
      <c r="C81" s="2" t="s">
        <v>499</v>
      </c>
      <c r="D81" s="2" t="s">
        <v>502</v>
      </c>
      <c r="E81" t="s">
        <v>616</v>
      </c>
      <c r="Q81" t="s">
        <v>408</v>
      </c>
      <c r="R81" t="s">
        <v>617</v>
      </c>
      <c r="S81" s="2" t="s">
        <v>618</v>
      </c>
      <c r="U81" t="s">
        <v>619</v>
      </c>
    </row>
    <row r="82" spans="1:21">
      <c r="A82" s="2" t="s">
        <v>449</v>
      </c>
      <c r="B82" s="2" t="s">
        <v>620</v>
      </c>
      <c r="C82" s="2" t="s">
        <v>426</v>
      </c>
      <c r="E82" t="s">
        <v>621</v>
      </c>
      <c r="G82" s="3"/>
      <c r="H82" s="3"/>
      <c r="Q82" t="s">
        <v>622</v>
      </c>
      <c r="R82" t="s">
        <v>623</v>
      </c>
      <c r="S82" s="2" t="s">
        <v>624</v>
      </c>
      <c r="U82" t="s">
        <v>625</v>
      </c>
    </row>
    <row r="83" spans="1:21">
      <c r="A83" s="2" t="s">
        <v>449</v>
      </c>
      <c r="B83" s="2" t="s">
        <v>626</v>
      </c>
      <c r="C83" s="2" t="s">
        <v>426</v>
      </c>
      <c r="E83" t="s">
        <v>627</v>
      </c>
    </row>
    <row r="84" spans="1:21">
      <c r="A84" s="2" t="s">
        <v>449</v>
      </c>
      <c r="B84" s="2" t="s">
        <v>628</v>
      </c>
      <c r="C84" s="2" t="s">
        <v>426</v>
      </c>
      <c r="E84" t="s">
        <v>629</v>
      </c>
    </row>
    <row r="85" spans="1:21">
      <c r="A85" s="2" t="s">
        <v>449</v>
      </c>
      <c r="B85" s="2" t="s">
        <v>630</v>
      </c>
      <c r="C85" s="2" t="s">
        <v>426</v>
      </c>
      <c r="E85" t="s">
        <v>631</v>
      </c>
    </row>
    <row r="86" spans="1:21">
      <c r="A86" s="2" t="s">
        <v>449</v>
      </c>
      <c r="B86" s="2" t="s">
        <v>632</v>
      </c>
      <c r="C86" s="2" t="s">
        <v>426</v>
      </c>
      <c r="E86" t="s">
        <v>633</v>
      </c>
      <c r="Q86" s="2" t="s">
        <v>634</v>
      </c>
    </row>
    <row r="87" spans="1:21">
      <c r="A87" s="2" t="s">
        <v>449</v>
      </c>
      <c r="B87" s="2" t="s">
        <v>635</v>
      </c>
      <c r="C87" s="2" t="s">
        <v>426</v>
      </c>
      <c r="E87" t="s">
        <v>636</v>
      </c>
      <c r="Q87" s="2" t="s">
        <v>637</v>
      </c>
    </row>
    <row r="88" spans="1:21">
      <c r="A88" s="2" t="s">
        <v>449</v>
      </c>
      <c r="B88" s="2" t="s">
        <v>638</v>
      </c>
      <c r="C88" s="2" t="s">
        <v>426</v>
      </c>
      <c r="E88" t="s">
        <v>639</v>
      </c>
    </row>
    <row r="89" spans="1:21">
      <c r="A89" s="2" t="s">
        <v>449</v>
      </c>
      <c r="B89" s="2" t="s">
        <v>640</v>
      </c>
      <c r="C89" s="2" t="s">
        <v>426</v>
      </c>
      <c r="E89" t="s">
        <v>641</v>
      </c>
    </row>
    <row r="90" spans="1:21">
      <c r="A90" s="2" t="s">
        <v>449</v>
      </c>
      <c r="B90" s="2" t="s">
        <v>642</v>
      </c>
      <c r="C90" s="2" t="s">
        <v>426</v>
      </c>
      <c r="E90" t="s">
        <v>643</v>
      </c>
    </row>
    <row r="91" spans="1:21">
      <c r="A91" s="2" t="s">
        <v>449</v>
      </c>
      <c r="B91" s="2" t="s">
        <v>644</v>
      </c>
      <c r="C91" s="2" t="s">
        <v>426</v>
      </c>
      <c r="E91" t="s">
        <v>645</v>
      </c>
    </row>
    <row r="92" spans="1:21">
      <c r="A92" s="2" t="s">
        <v>449</v>
      </c>
      <c r="B92" s="2" t="s">
        <v>646</v>
      </c>
      <c r="C92" s="2" t="s">
        <v>461</v>
      </c>
      <c r="D92" s="2" t="s">
        <v>462</v>
      </c>
      <c r="E92" t="s">
        <v>647</v>
      </c>
    </row>
    <row r="93" spans="1:21">
      <c r="A93" s="2" t="s">
        <v>449</v>
      </c>
      <c r="B93" s="2" t="s">
        <v>628</v>
      </c>
      <c r="C93" s="2" t="s">
        <v>461</v>
      </c>
      <c r="D93" s="2" t="s">
        <v>561</v>
      </c>
      <c r="E93" t="s">
        <v>648</v>
      </c>
    </row>
    <row r="94" spans="1:21">
      <c r="A94" s="2" t="s">
        <v>449</v>
      </c>
      <c r="B94" s="2" t="s">
        <v>649</v>
      </c>
      <c r="C94" s="2" t="s">
        <v>461</v>
      </c>
      <c r="D94" s="2" t="s">
        <v>462</v>
      </c>
      <c r="E94" t="s">
        <v>650</v>
      </c>
    </row>
    <row r="95" spans="1:21">
      <c r="A95" s="2" t="s">
        <v>449</v>
      </c>
      <c r="B95" s="2" t="s">
        <v>632</v>
      </c>
      <c r="C95" s="2" t="s">
        <v>461</v>
      </c>
      <c r="D95" s="2" t="s">
        <v>561</v>
      </c>
      <c r="E95" t="s">
        <v>651</v>
      </c>
    </row>
    <row r="96" spans="1:21">
      <c r="A96" s="2" t="s">
        <v>449</v>
      </c>
      <c r="B96" s="2" t="s">
        <v>652</v>
      </c>
      <c r="C96" s="2" t="s">
        <v>461</v>
      </c>
      <c r="D96" s="2" t="s">
        <v>462</v>
      </c>
      <c r="E96" t="s">
        <v>653</v>
      </c>
    </row>
    <row r="97" spans="1:8">
      <c r="A97" s="2" t="s">
        <v>449</v>
      </c>
      <c r="B97" s="2" t="s">
        <v>654</v>
      </c>
      <c r="C97" s="2" t="s">
        <v>461</v>
      </c>
      <c r="D97" s="2" t="s">
        <v>490</v>
      </c>
      <c r="E97" t="s">
        <v>655</v>
      </c>
    </row>
    <row r="98" spans="1:8">
      <c r="A98" s="2" t="s">
        <v>449</v>
      </c>
      <c r="B98" s="2" t="s">
        <v>656</v>
      </c>
      <c r="C98" s="2" t="s">
        <v>461</v>
      </c>
      <c r="D98" s="2" t="s">
        <v>462</v>
      </c>
      <c r="E98" t="s">
        <v>657</v>
      </c>
    </row>
    <row r="99" spans="1:8">
      <c r="A99" s="2" t="s">
        <v>449</v>
      </c>
      <c r="B99" s="2" t="s">
        <v>658</v>
      </c>
      <c r="C99" s="2" t="s">
        <v>461</v>
      </c>
      <c r="D99" s="2" t="s">
        <v>659</v>
      </c>
      <c r="E99" t="s">
        <v>660</v>
      </c>
    </row>
    <row r="100" spans="1:8">
      <c r="A100" s="2" t="s">
        <v>449</v>
      </c>
      <c r="B100" s="2" t="s">
        <v>661</v>
      </c>
      <c r="C100" s="2" t="s">
        <v>461</v>
      </c>
      <c r="D100" s="4" t="s">
        <v>462</v>
      </c>
      <c r="E100" t="s">
        <v>662</v>
      </c>
      <c r="F100" s="3"/>
    </row>
    <row r="101" spans="1:8">
      <c r="A101" s="2" t="s">
        <v>449</v>
      </c>
      <c r="B101" s="2" t="s">
        <v>663</v>
      </c>
      <c r="C101" s="2" t="s">
        <v>461</v>
      </c>
      <c r="D101" s="4" t="s">
        <v>479</v>
      </c>
      <c r="E101" t="s">
        <v>664</v>
      </c>
      <c r="F101" s="3"/>
    </row>
    <row r="102" spans="1:8">
      <c r="A102" s="2" t="s">
        <v>449</v>
      </c>
      <c r="B102" s="2" t="s">
        <v>665</v>
      </c>
      <c r="C102" s="2" t="s">
        <v>499</v>
      </c>
      <c r="D102" s="4" t="s">
        <v>462</v>
      </c>
      <c r="E102" s="4" t="s">
        <v>666</v>
      </c>
      <c r="F102" s="3"/>
      <c r="G102" s="3"/>
      <c r="H102" s="3"/>
    </row>
    <row r="103" spans="1:8">
      <c r="A103" s="2" t="s">
        <v>449</v>
      </c>
      <c r="B103" s="2" t="s">
        <v>667</v>
      </c>
      <c r="C103" s="2" t="s">
        <v>499</v>
      </c>
      <c r="D103" s="2" t="s">
        <v>659</v>
      </c>
      <c r="E103" s="2" t="s">
        <v>668</v>
      </c>
      <c r="G103" s="3"/>
      <c r="H103" s="3"/>
    </row>
    <row r="104" spans="1:8">
      <c r="A104" s="2" t="s">
        <v>449</v>
      </c>
      <c r="B104" s="2" t="s">
        <v>669</v>
      </c>
      <c r="C104" s="2" t="s">
        <v>499</v>
      </c>
      <c r="D104" s="2" t="s">
        <v>516</v>
      </c>
      <c r="E104" s="2" t="s">
        <v>670</v>
      </c>
      <c r="G104" s="3"/>
      <c r="H104" s="3"/>
    </row>
    <row r="105" spans="1:8">
      <c r="A105" s="2" t="s">
        <v>449</v>
      </c>
      <c r="B105" s="2" t="s">
        <v>671</v>
      </c>
      <c r="C105" s="2" t="s">
        <v>499</v>
      </c>
      <c r="D105" s="2" t="s">
        <v>561</v>
      </c>
      <c r="E105" s="2" t="s">
        <v>672</v>
      </c>
    </row>
    <row r="106" spans="1:8">
      <c r="A106" s="2" t="s">
        <v>449</v>
      </c>
      <c r="B106" s="2" t="s">
        <v>673</v>
      </c>
      <c r="C106" s="2" t="s">
        <v>499</v>
      </c>
      <c r="D106" s="2" t="s">
        <v>462</v>
      </c>
      <c r="E106" s="2" t="s">
        <v>674</v>
      </c>
    </row>
    <row r="107" spans="1:8">
      <c r="A107" s="2" t="s">
        <v>449</v>
      </c>
      <c r="B107" s="2" t="s">
        <v>675</v>
      </c>
      <c r="C107" s="2" t="s">
        <v>499</v>
      </c>
      <c r="D107" s="2" t="s">
        <v>462</v>
      </c>
      <c r="E107" s="2" t="s">
        <v>676</v>
      </c>
    </row>
    <row r="108" spans="1:8">
      <c r="A108" s="2" t="s">
        <v>449</v>
      </c>
      <c r="B108" s="2" t="s">
        <v>677</v>
      </c>
      <c r="C108" s="2" t="s">
        <v>499</v>
      </c>
      <c r="D108" s="2" t="s">
        <v>561</v>
      </c>
      <c r="E108" s="2" t="s">
        <v>678</v>
      </c>
    </row>
    <row r="109" spans="1:8">
      <c r="A109" s="2" t="s">
        <v>449</v>
      </c>
      <c r="B109" s="2" t="s">
        <v>679</v>
      </c>
      <c r="C109" s="2" t="s">
        <v>499</v>
      </c>
      <c r="D109" s="2" t="s">
        <v>479</v>
      </c>
      <c r="E109" s="2" t="s">
        <v>680</v>
      </c>
    </row>
    <row r="110" spans="1:8">
      <c r="A110" s="2" t="s">
        <v>449</v>
      </c>
      <c r="B110" s="2" t="s">
        <v>681</v>
      </c>
      <c r="C110" s="2" t="s">
        <v>499</v>
      </c>
      <c r="D110" s="2" t="s">
        <v>682</v>
      </c>
      <c r="E110" s="2" t="s">
        <v>683</v>
      </c>
    </row>
    <row r="111" spans="1:8">
      <c r="A111" s="2" t="s">
        <v>449</v>
      </c>
      <c r="B111" s="2" t="s">
        <v>684</v>
      </c>
      <c r="C111" s="2" t="s">
        <v>499</v>
      </c>
      <c r="D111" s="2" t="s">
        <v>462</v>
      </c>
      <c r="E111" s="2" t="s">
        <v>685</v>
      </c>
    </row>
    <row r="116" spans="2:5">
      <c r="E116" t="s">
        <v>686</v>
      </c>
    </row>
    <row r="117" spans="2:5">
      <c r="E117" t="s">
        <v>687</v>
      </c>
    </row>
    <row r="118" spans="2:5">
      <c r="E118" t="s">
        <v>688</v>
      </c>
    </row>
    <row r="120" spans="2:5">
      <c r="B120" s="2" t="s">
        <v>689</v>
      </c>
      <c r="D120" s="2" t="s">
        <v>456</v>
      </c>
      <c r="E120" t="s">
        <v>690</v>
      </c>
    </row>
    <row r="121" spans="2:5">
      <c r="D121" s="2" t="s">
        <v>691</v>
      </c>
      <c r="E121" t="s">
        <v>692</v>
      </c>
    </row>
    <row r="122" spans="2:5">
      <c r="B122" s="5"/>
      <c r="D122" s="2" t="s">
        <v>693</v>
      </c>
      <c r="E122" s="8" t="s">
        <v>694</v>
      </c>
    </row>
    <row r="123" spans="2:5">
      <c r="B123" s="2" t="s">
        <v>695</v>
      </c>
      <c r="D123" s="2" t="s">
        <v>696</v>
      </c>
      <c r="E123" s="8" t="s">
        <v>697</v>
      </c>
    </row>
    <row r="124" spans="2:5">
      <c r="B124" s="2" t="s">
        <v>698</v>
      </c>
      <c r="E124" s="8" t="s">
        <v>699</v>
      </c>
    </row>
    <row r="125" spans="2:5">
      <c r="D125" s="2" t="s">
        <v>700</v>
      </c>
      <c r="E125" t="s">
        <v>701</v>
      </c>
    </row>
    <row r="126" spans="2:5">
      <c r="D126" s="2" t="s">
        <v>702</v>
      </c>
      <c r="E126" t="s">
        <v>703</v>
      </c>
    </row>
    <row r="127" ht="27" spans="2:5">
      <c r="B127" s="2" t="s">
        <v>704</v>
      </c>
      <c r="D127" s="2" t="s">
        <v>705</v>
      </c>
      <c r="E127" s="8" t="s">
        <v>706</v>
      </c>
    </row>
    <row r="128" spans="2:5">
      <c r="B128" s="2" t="s">
        <v>707</v>
      </c>
      <c r="D128" s="2" t="s">
        <v>708</v>
      </c>
      <c r="E128" t="s">
        <v>709</v>
      </c>
    </row>
    <row r="130" spans="1:5">
      <c r="B130" s="4" t="s">
        <v>710</v>
      </c>
      <c r="E130" s="3" t="s">
        <v>711</v>
      </c>
    </row>
    <row r="131" spans="1:5">
      <c r="B131" s="4"/>
      <c r="E131" s="9" t="s">
        <v>712</v>
      </c>
    </row>
    <row r="132" spans="1:5">
      <c r="E132" s="3"/>
    </row>
    <row r="133" spans="1:5">
      <c r="A133" s="10"/>
    </row>
    <row r="135" spans="1:5">
      <c r="B135" s="2" t="s">
        <v>713</v>
      </c>
      <c r="E135" s="3" t="s">
        <v>714</v>
      </c>
    </row>
    <row r="136" spans="1:5">
      <c r="B136" s="2" t="s">
        <v>715</v>
      </c>
      <c r="E136" t="s">
        <v>716</v>
      </c>
    </row>
    <row r="137" spans="1:5">
      <c r="E137" t="s">
        <v>717</v>
      </c>
    </row>
    <row r="138" spans="1:5">
      <c r="C138" s="2" t="s">
        <v>461</v>
      </c>
      <c r="E138" t="s">
        <v>718</v>
      </c>
    </row>
    <row r="139" spans="1:5">
      <c r="C139" s="2" t="s">
        <v>461</v>
      </c>
      <c r="E139" s="3" t="s">
        <v>719</v>
      </c>
    </row>
    <row r="140" spans="1:5">
      <c r="C140" s="2" t="s">
        <v>461</v>
      </c>
      <c r="E140" s="3" t="s">
        <v>720</v>
      </c>
    </row>
    <row r="141" spans="1:5">
      <c r="B141" s="2" t="s">
        <v>721</v>
      </c>
      <c r="C141" s="2" t="s">
        <v>461</v>
      </c>
      <c r="E141" s="3" t="s">
        <v>722</v>
      </c>
    </row>
    <row r="142" spans="1:5">
      <c r="C142" s="2" t="s">
        <v>461</v>
      </c>
      <c r="E142" s="3" t="s">
        <v>723</v>
      </c>
    </row>
    <row r="143" spans="1:5">
      <c r="E143" s="3" t="s">
        <v>724</v>
      </c>
    </row>
    <row r="144" spans="1:5">
      <c r="E144" s="3" t="s">
        <v>725</v>
      </c>
    </row>
    <row r="145" spans="1:5">
      <c r="B145" s="4" t="s">
        <v>726</v>
      </c>
      <c r="E145" t="s">
        <v>727</v>
      </c>
    </row>
    <row r="146" spans="1:5">
      <c r="B146" s="4" t="s">
        <v>728</v>
      </c>
      <c r="E146" t="s">
        <v>729</v>
      </c>
    </row>
    <row r="147" spans="1:5">
      <c r="B147" s="4"/>
      <c r="E147" t="s">
        <v>730</v>
      </c>
    </row>
    <row r="148" spans="1:5">
      <c r="B148" s="4" t="s">
        <v>731</v>
      </c>
      <c r="E148" t="s">
        <v>732</v>
      </c>
    </row>
    <row r="149" spans="1:5">
      <c r="B149" s="4" t="s">
        <v>733</v>
      </c>
      <c r="E149" t="s">
        <v>734</v>
      </c>
    </row>
    <row r="150" spans="1:5">
      <c r="B150" s="4" t="s">
        <v>707</v>
      </c>
      <c r="E150" t="s">
        <v>735</v>
      </c>
    </row>
    <row r="151" spans="1:5">
      <c r="B151" s="4" t="s">
        <v>736</v>
      </c>
      <c r="E151" t="s">
        <v>737</v>
      </c>
    </row>
    <row r="152" spans="1:5">
      <c r="B152" s="4" t="s">
        <v>738</v>
      </c>
      <c r="E152" t="s">
        <v>739</v>
      </c>
    </row>
    <row r="153" ht="15" spans="1:5">
      <c r="A153" s="2" t="s">
        <v>447</v>
      </c>
      <c r="B153" s="11"/>
      <c r="C153" s="2" t="s">
        <v>426</v>
      </c>
      <c r="E153" t="s">
        <v>740</v>
      </c>
    </row>
    <row r="154" spans="1:5">
      <c r="A154" s="2" t="s">
        <v>447</v>
      </c>
      <c r="C154" s="2" t="s">
        <v>426</v>
      </c>
      <c r="E154" t="s">
        <v>741</v>
      </c>
    </row>
    <row r="155" spans="1:5">
      <c r="A155" s="2" t="s">
        <v>447</v>
      </c>
      <c r="C155" s="2" t="s">
        <v>426</v>
      </c>
      <c r="E155" t="s">
        <v>742</v>
      </c>
    </row>
    <row r="156" spans="1:5">
      <c r="A156" s="2" t="s">
        <v>447</v>
      </c>
      <c r="C156" s="2" t="s">
        <v>426</v>
      </c>
      <c r="E156" t="s">
        <v>743</v>
      </c>
    </row>
    <row r="157" spans="1:5">
      <c r="A157" s="2" t="s">
        <v>447</v>
      </c>
      <c r="C157" s="2" t="s">
        <v>426</v>
      </c>
      <c r="E157" t="s">
        <v>744</v>
      </c>
    </row>
    <row r="158" spans="1:5">
      <c r="A158" s="2" t="s">
        <v>447</v>
      </c>
      <c r="C158" s="2" t="s">
        <v>426</v>
      </c>
      <c r="E158" t="s">
        <v>745</v>
      </c>
    </row>
    <row r="167" spans="1:5">
      <c r="A167" s="2" t="s">
        <v>447</v>
      </c>
    </row>
    <row r="168" spans="1:5">
      <c r="A168" s="2" t="s">
        <v>447</v>
      </c>
      <c r="B168" s="2" t="s">
        <v>733</v>
      </c>
      <c r="C168" s="2" t="s">
        <v>746</v>
      </c>
      <c r="E168" t="s">
        <v>747</v>
      </c>
    </row>
    <row r="170" spans="1:5">
      <c r="B170" s="2" t="s">
        <v>748</v>
      </c>
      <c r="E170" t="s">
        <v>749</v>
      </c>
    </row>
    <row r="171" spans="1:5">
      <c r="B171" s="2" t="s">
        <v>750</v>
      </c>
      <c r="E171" t="s">
        <v>751</v>
      </c>
    </row>
    <row r="172" spans="1:5">
      <c r="B172" s="5" t="s">
        <v>752</v>
      </c>
      <c r="E172" t="s">
        <v>753</v>
      </c>
    </row>
    <row r="173" spans="1:5">
      <c r="B173" s="2" t="s">
        <v>754</v>
      </c>
      <c r="E173" t="s">
        <v>755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11:S40"/>
  <sheetViews>
    <sheetView workbookViewId="0">
      <selection activeCell="K34" sqref="K34"/>
    </sheetView>
  </sheetViews>
  <sheetFormatPr defaultColWidth="9" defaultRowHeight="13.5"/>
  <sheetData>
    <row r="11" spans="9:19">
      <c r="I11" t="s">
        <v>756</v>
      </c>
      <c r="K11" t="s">
        <v>757</v>
      </c>
      <c r="Q11" t="s">
        <v>758</v>
      </c>
      <c r="S11" t="s">
        <v>759</v>
      </c>
    </row>
    <row r="13" spans="9:19">
      <c r="I13" t="s">
        <v>760</v>
      </c>
      <c r="J13" t="s">
        <v>761</v>
      </c>
      <c r="K13" t="s">
        <v>166</v>
      </c>
      <c r="Q13" t="s">
        <v>762</v>
      </c>
      <c r="R13" t="s">
        <v>761</v>
      </c>
      <c r="S13" t="s">
        <v>166</v>
      </c>
    </row>
    <row r="14" spans="9:19">
      <c r="I14" t="s">
        <v>763</v>
      </c>
      <c r="J14" t="s">
        <v>764</v>
      </c>
      <c r="K14" t="s">
        <v>765</v>
      </c>
      <c r="Q14" t="s">
        <v>93</v>
      </c>
      <c r="R14" t="s">
        <v>766</v>
      </c>
      <c r="S14" t="s">
        <v>767</v>
      </c>
    </row>
    <row r="15" spans="9:19">
      <c r="I15" t="s">
        <v>69</v>
      </c>
      <c r="J15" t="s">
        <v>766</v>
      </c>
      <c r="K15" t="s">
        <v>768</v>
      </c>
      <c r="Q15" t="s">
        <v>54</v>
      </c>
      <c r="R15" t="s">
        <v>766</v>
      </c>
      <c r="S15" t="s">
        <v>767</v>
      </c>
    </row>
    <row r="16" spans="9:19">
      <c r="I16" t="s">
        <v>82</v>
      </c>
      <c r="J16" t="s">
        <v>764</v>
      </c>
      <c r="K16" t="s">
        <v>769</v>
      </c>
      <c r="Q16" t="s">
        <v>41</v>
      </c>
      <c r="R16" t="s">
        <v>764</v>
      </c>
      <c r="S16" t="s">
        <v>770</v>
      </c>
    </row>
    <row r="17" spans="9:19">
      <c r="I17" t="s">
        <v>771</v>
      </c>
      <c r="J17" t="s">
        <v>766</v>
      </c>
      <c r="K17" t="s">
        <v>772</v>
      </c>
      <c r="Q17" t="s">
        <v>66</v>
      </c>
      <c r="R17" t="s">
        <v>764</v>
      </c>
      <c r="S17" t="s">
        <v>773</v>
      </c>
    </row>
    <row r="18" spans="9:19">
      <c r="I18" t="s">
        <v>774</v>
      </c>
      <c r="J18" t="s">
        <v>775</v>
      </c>
      <c r="K18" t="s">
        <v>776</v>
      </c>
      <c r="Q18" t="s">
        <v>67</v>
      </c>
      <c r="R18" t="s">
        <v>764</v>
      </c>
      <c r="S18" t="s">
        <v>773</v>
      </c>
    </row>
    <row r="19" spans="9:19">
      <c r="I19" t="s">
        <v>26</v>
      </c>
      <c r="J19" t="s">
        <v>775</v>
      </c>
      <c r="K19" t="s">
        <v>777</v>
      </c>
      <c r="Q19" t="s">
        <v>62</v>
      </c>
      <c r="R19" t="s">
        <v>21</v>
      </c>
      <c r="S19" t="s">
        <v>778</v>
      </c>
    </row>
    <row r="20" spans="9:19">
      <c r="I20" t="s">
        <v>779</v>
      </c>
      <c r="J20" t="s">
        <v>21</v>
      </c>
      <c r="K20" t="s">
        <v>780</v>
      </c>
      <c r="Q20" t="s">
        <v>77</v>
      </c>
      <c r="R20" t="s">
        <v>21</v>
      </c>
      <c r="S20" t="s">
        <v>781</v>
      </c>
    </row>
    <row r="21" spans="9:19">
      <c r="I21" t="s">
        <v>782</v>
      </c>
      <c r="J21" t="s">
        <v>775</v>
      </c>
      <c r="K21" t="s">
        <v>783</v>
      </c>
      <c r="Q21" t="s">
        <v>774</v>
      </c>
      <c r="R21" t="s">
        <v>775</v>
      </c>
      <c r="S21" t="s">
        <v>784</v>
      </c>
    </row>
    <row r="22" spans="9:19">
      <c r="Q22" t="s">
        <v>26</v>
      </c>
      <c r="R22" t="s">
        <v>775</v>
      </c>
      <c r="S22" t="s">
        <v>785</v>
      </c>
    </row>
    <row r="23" spans="9:19">
      <c r="Q23" t="s">
        <v>69</v>
      </c>
      <c r="R23" t="s">
        <v>775</v>
      </c>
      <c r="S23" t="s">
        <v>786</v>
      </c>
    </row>
    <row r="25" spans="9:19">
      <c r="I25" t="s">
        <v>30</v>
      </c>
      <c r="J25" t="s">
        <v>787</v>
      </c>
      <c r="Q25" t="s">
        <v>788</v>
      </c>
      <c r="R25" t="s">
        <v>789</v>
      </c>
    </row>
    <row r="26" spans="9:19">
      <c r="I26" t="s">
        <v>790</v>
      </c>
      <c r="J26" t="s">
        <v>791</v>
      </c>
      <c r="Q26" t="s">
        <v>792</v>
      </c>
      <c r="R26" t="s">
        <v>793</v>
      </c>
    </row>
    <row r="27" spans="9:19">
      <c r="I27" t="s">
        <v>794</v>
      </c>
      <c r="J27" t="s">
        <v>795</v>
      </c>
      <c r="Q27" t="s">
        <v>796</v>
      </c>
      <c r="R27" t="s">
        <v>797</v>
      </c>
    </row>
    <row r="28" spans="9:19">
      <c r="I28" t="s">
        <v>798</v>
      </c>
      <c r="J28" t="s">
        <v>799</v>
      </c>
      <c r="Q28" t="s">
        <v>800</v>
      </c>
      <c r="R28" t="s">
        <v>801</v>
      </c>
    </row>
    <row r="29" spans="9:19">
      <c r="I29" t="s">
        <v>802</v>
      </c>
      <c r="J29" t="s">
        <v>803</v>
      </c>
      <c r="Q29" t="s">
        <v>804</v>
      </c>
      <c r="R29" t="s">
        <v>805</v>
      </c>
    </row>
    <row r="30" spans="9:19">
      <c r="I30" t="s">
        <v>806</v>
      </c>
      <c r="J30" t="s">
        <v>807</v>
      </c>
    </row>
    <row r="35" spans="9:13">
      <c r="I35" t="s">
        <v>808</v>
      </c>
    </row>
    <row r="36" ht="14.25" spans="9:13">
      <c r="I36" s="1" t="s">
        <v>809</v>
      </c>
      <c r="J36">
        <v>10</v>
      </c>
      <c r="K36" s="2" t="s">
        <v>810</v>
      </c>
      <c r="L36" s="2"/>
      <c r="M36" s="2"/>
    </row>
    <row r="37" spans="9:13">
      <c r="I37" t="s">
        <v>811</v>
      </c>
      <c r="J37">
        <v>30</v>
      </c>
    </row>
    <row r="38" spans="9:13">
      <c r="I38" t="s">
        <v>812</v>
      </c>
      <c r="J38">
        <v>55</v>
      </c>
    </row>
    <row r="39" spans="9:13">
      <c r="I39" t="s">
        <v>813</v>
      </c>
      <c r="J39">
        <v>80</v>
      </c>
    </row>
    <row r="40" spans="9:13">
      <c r="I40" t="s">
        <v>814</v>
      </c>
      <c r="J40">
        <v>100</v>
      </c>
    </row>
  </sheetData>
  <mergeCells count="1">
    <mergeCell ref="K36:M3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3.5"/>
  <sheetData>
    <row r="8" spans="8:16">
      <c r="O8" t="s">
        <v>815</v>
      </c>
    </row>
    <row r="10" spans="8:16">
      <c r="H10" t="s">
        <v>816</v>
      </c>
      <c r="O10" t="s">
        <v>817</v>
      </c>
    </row>
    <row r="11" spans="8:16">
      <c r="O11" t="s">
        <v>818</v>
      </c>
      <c r="P11" t="s">
        <v>819</v>
      </c>
    </row>
    <row r="12" spans="8:16">
      <c r="H12" t="s">
        <v>818</v>
      </c>
      <c r="I12" t="s">
        <v>392</v>
      </c>
      <c r="J12" t="s">
        <v>820</v>
      </c>
      <c r="K12" t="s">
        <v>821</v>
      </c>
      <c r="O12" t="s">
        <v>822</v>
      </c>
      <c r="P12" t="s">
        <v>823</v>
      </c>
    </row>
    <row r="13" spans="8:16">
      <c r="H13" t="s">
        <v>822</v>
      </c>
      <c r="I13" t="s">
        <v>824</v>
      </c>
      <c r="J13" t="s">
        <v>825</v>
      </c>
      <c r="K13" t="s">
        <v>826</v>
      </c>
      <c r="O13" t="s">
        <v>827</v>
      </c>
      <c r="P13" t="s">
        <v>828</v>
      </c>
    </row>
    <row r="14" spans="8:16">
      <c r="H14" t="s">
        <v>827</v>
      </c>
      <c r="I14" t="s">
        <v>829</v>
      </c>
      <c r="J14" t="s">
        <v>830</v>
      </c>
      <c r="K14" t="s">
        <v>831</v>
      </c>
      <c r="O14" t="s">
        <v>832</v>
      </c>
      <c r="P14" t="s">
        <v>833</v>
      </c>
    </row>
    <row r="15" spans="8:16">
      <c r="H15" t="s">
        <v>832</v>
      </c>
      <c r="I15" t="s">
        <v>834</v>
      </c>
      <c r="J15" t="s">
        <v>435</v>
      </c>
      <c r="K15" t="s">
        <v>835</v>
      </c>
      <c r="O15" t="s">
        <v>836</v>
      </c>
      <c r="P15" t="s">
        <v>837</v>
      </c>
    </row>
    <row r="16" spans="8:16">
      <c r="H16" t="s">
        <v>836</v>
      </c>
      <c r="I16" t="s">
        <v>838</v>
      </c>
      <c r="J16" t="s">
        <v>839</v>
      </c>
      <c r="K16" t="s">
        <v>840</v>
      </c>
      <c r="O16" t="s">
        <v>841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topLeftCell="A22" workbookViewId="0">
      <selection activeCell="T13" sqref="T13"/>
    </sheetView>
  </sheetViews>
  <sheetFormatPr defaultColWidth="9" defaultRowHeight="13.5"/>
  <sheetData>
    <row r="4" spans="10:18">
      <c r="R4" t="s">
        <v>842</v>
      </c>
    </row>
    <row r="5" spans="10:18">
      <c r="J5" t="s">
        <v>843</v>
      </c>
      <c r="R5" t="s">
        <v>844</v>
      </c>
    </row>
    <row r="6" spans="10:18">
      <c r="J6" t="s">
        <v>845</v>
      </c>
      <c r="K6" t="s">
        <v>846</v>
      </c>
      <c r="R6" t="s">
        <v>847</v>
      </c>
    </row>
    <row r="7" spans="10:18">
      <c r="J7" t="s">
        <v>10</v>
      </c>
      <c r="K7" t="s">
        <v>848</v>
      </c>
    </row>
    <row r="8" spans="10:18">
      <c r="J8" t="s">
        <v>11</v>
      </c>
      <c r="K8" t="s">
        <v>849</v>
      </c>
    </row>
    <row r="9" spans="10:18">
      <c r="J9" t="s">
        <v>850</v>
      </c>
      <c r="K9">
        <v>0</v>
      </c>
    </row>
    <row r="17" spans="10:12">
      <c r="J17" t="s">
        <v>851</v>
      </c>
    </row>
    <row r="19" spans="10:12">
      <c r="J19" t="s">
        <v>852</v>
      </c>
    </row>
    <row r="20" spans="10:12">
      <c r="J20" t="s">
        <v>168</v>
      </c>
      <c r="K20" t="s">
        <v>344</v>
      </c>
      <c r="L20" t="s">
        <v>853</v>
      </c>
    </row>
    <row r="21" spans="10:12">
      <c r="J21" t="s">
        <v>196</v>
      </c>
      <c r="K21">
        <v>0.4</v>
      </c>
      <c r="L21">
        <v>0.24</v>
      </c>
    </row>
    <row r="22" spans="10:12">
      <c r="J22" t="s">
        <v>854</v>
      </c>
      <c r="K22">
        <v>0.3</v>
      </c>
      <c r="L22">
        <v>0.18</v>
      </c>
    </row>
    <row r="23" spans="10:12">
      <c r="J23" t="s">
        <v>855</v>
      </c>
      <c r="K23">
        <v>0.2</v>
      </c>
      <c r="L23">
        <v>0.12</v>
      </c>
    </row>
    <row r="24" spans="10:12">
      <c r="J24" t="s">
        <v>856</v>
      </c>
      <c r="K24">
        <v>0.1</v>
      </c>
      <c r="L24">
        <v>0.06</v>
      </c>
    </row>
    <row r="25" spans="10:12">
      <c r="J25" t="s">
        <v>857</v>
      </c>
      <c r="K25">
        <v>1</v>
      </c>
      <c r="L25">
        <v>0.6</v>
      </c>
    </row>
    <row r="26" spans="10:12">
      <c r="J26" t="s">
        <v>858</v>
      </c>
    </row>
    <row r="29" spans="10:12">
      <c r="J29" t="s">
        <v>859</v>
      </c>
    </row>
    <row r="31" spans="10:12">
      <c r="J31" t="s">
        <v>860</v>
      </c>
    </row>
    <row r="32" spans="10:12">
      <c r="J32" t="s">
        <v>168</v>
      </c>
      <c r="K32" t="s">
        <v>344</v>
      </c>
      <c r="L32" t="s">
        <v>853</v>
      </c>
    </row>
    <row r="33" spans="10:12">
      <c r="J33" t="s">
        <v>861</v>
      </c>
      <c r="K33">
        <v>0.4</v>
      </c>
      <c r="L33">
        <v>0.2</v>
      </c>
    </row>
    <row r="34" spans="10:12">
      <c r="J34" t="s">
        <v>56</v>
      </c>
      <c r="K34">
        <v>0.3</v>
      </c>
      <c r="L34">
        <v>0.15</v>
      </c>
    </row>
    <row r="35" spans="10:12">
      <c r="J35" t="s">
        <v>52</v>
      </c>
      <c r="K35">
        <v>0.2</v>
      </c>
      <c r="L35">
        <v>0.1</v>
      </c>
    </row>
    <row r="36" spans="10:12">
      <c r="J36" t="s">
        <v>862</v>
      </c>
      <c r="K36">
        <v>0.1</v>
      </c>
      <c r="L36">
        <v>0.05</v>
      </c>
    </row>
    <row r="37" spans="10:12">
      <c r="J37" t="s">
        <v>857</v>
      </c>
      <c r="K37">
        <v>1</v>
      </c>
      <c r="L37">
        <v>0.5</v>
      </c>
    </row>
    <row r="38" spans="10:12">
      <c r="J38" t="s">
        <v>863</v>
      </c>
    </row>
    <row r="41" spans="10:12">
      <c r="J41" t="s">
        <v>864</v>
      </c>
    </row>
    <row r="43" spans="10:12">
      <c r="J43" t="s">
        <v>865</v>
      </c>
    </row>
    <row r="44" spans="10:12">
      <c r="J44" t="s">
        <v>866</v>
      </c>
    </row>
    <row r="46" spans="10:12">
      <c r="J46" t="s">
        <v>168</v>
      </c>
      <c r="K46" t="s">
        <v>344</v>
      </c>
      <c r="L46" t="s">
        <v>166</v>
      </c>
    </row>
    <row r="47" spans="10:12">
      <c r="J47" t="s">
        <v>867</v>
      </c>
      <c r="K47">
        <v>0.3</v>
      </c>
      <c r="L47" t="s">
        <v>868</v>
      </c>
    </row>
    <row r="48" spans="10:12">
      <c r="J48" t="s">
        <v>869</v>
      </c>
      <c r="K48">
        <v>0.2</v>
      </c>
      <c r="L48" t="s">
        <v>870</v>
      </c>
    </row>
    <row r="49" spans="10:12">
      <c r="J49" t="s">
        <v>871</v>
      </c>
      <c r="K49">
        <v>0.25</v>
      </c>
      <c r="L49" t="s">
        <v>872</v>
      </c>
    </row>
    <row r="50" spans="10:12">
      <c r="J50" t="s">
        <v>35</v>
      </c>
      <c r="K50">
        <v>0.15</v>
      </c>
      <c r="L50" t="s">
        <v>767</v>
      </c>
    </row>
    <row r="51" spans="10:12">
      <c r="J51" t="s">
        <v>25</v>
      </c>
      <c r="K51">
        <v>0.1</v>
      </c>
      <c r="L51" t="s">
        <v>873</v>
      </c>
    </row>
    <row r="52" spans="10:12">
      <c r="J52" t="s">
        <v>39</v>
      </c>
      <c r="K52" t="s">
        <v>874</v>
      </c>
      <c r="L52" t="s">
        <v>875</v>
      </c>
    </row>
    <row r="53" spans="10:12">
      <c r="J53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"/>
  <sheetViews>
    <sheetView workbookViewId="0">
      <selection activeCell="A1" sqref="A1:E1"/>
    </sheetView>
  </sheetViews>
  <sheetFormatPr defaultColWidth="9" defaultRowHeight="13.5" outlineLevelCol="1"/>
  <sheetData>
    <row r="1" spans="2:2">
      <c r="B1" t="s">
        <v>877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2026-08-18T10:09:00Z</dcterms:created>
  <dcterms:modified xsi:type="dcterms:W3CDTF">2026-08-23T16:26:58Z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