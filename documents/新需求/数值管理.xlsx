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5-workspace\code\CombatDebugStudio\documents\新需求\"/>
    </mc:Choice>
  </mc:AlternateContent>
  <bookViews>
    <workbookView windowHeight="17655" firstSheet="1"/>
  </bookViews>
  <sheets>
    <sheet name="属性说明  " sheetId="8" r:id="rId1"/>
    <sheet name="属性计算" sheetId="7" r:id="rId2"/>
    <sheet name="装备" sheetId="2" r:id="rId3"/>
    <sheet name="词条设计" sheetId="12" r:id="rId4"/>
    <sheet name="装备词条" sheetId="10" r:id="rId5"/>
    <sheet name="流派" sheetId="3" r:id="rId6"/>
    <sheet name="宠物与坐骑" sheetId="4" r:id="rId7"/>
    <sheet name="宠物与坐骑列表" sheetId="13" r:id="rId8"/>
    <sheet name="天赋系统" sheetId="5" r:id="rId9"/>
    <sheet name="属性来源预算比例" sheetId="6" r:id="rId10"/>
    <sheet name="神器与法宝" sheetId="9" r:id="rId11"/>
    <sheet name="Sheet1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<sst xmlns="http://schemas.openxmlformats.org/spreadsheetml/2006/main" count="4300" uniqueCount="2280">
  <si>
    <t>ATK-L1</t>
  </si>
  <si>
    <t>攻击、命中、速度</t>
  </si>
  <si>
    <t>A</t>
  </si>
  <si>
    <t>层级</t>
  </si>
  <si>
    <t>属性</t>
  </si>
  <si>
    <t>ATK-L2</t>
  </si>
  <si>
    <t>攻击加成、命中加成、速度加成</t>
  </si>
  <si>
    <t>基础数值-20</t>
  </si>
  <si>
    <t>L1</t>
  </si>
  <si>
    <t>气血</t>
  </si>
  <si>
    <t>攻击</t>
  </si>
  <si>
    <t>防御</t>
  </si>
  <si>
    <t>命中</t>
  </si>
  <si>
    <t>闪避</t>
  </si>
  <si>
    <t>速度</t>
  </si>
  <si>
    <t>ATK-L3</t>
  </si>
  <si>
    <t>攻击系数、命中系数、速度系数</t>
  </si>
  <si>
    <t>L2</t>
  </si>
  <si>
    <t>气血加成</t>
  </si>
  <si>
    <t>攻击加成</t>
  </si>
  <si>
    <t>防御加成</t>
  </si>
  <si>
    <t>命中加成</t>
  </si>
  <si>
    <t>闪避加成</t>
  </si>
  <si>
    <t>速度加成</t>
  </si>
  <si>
    <t>ATK-MEC</t>
  </si>
  <si>
    <t>暴击率、暴击伤害、命中率、连击率、真伤率、伤害加成、普攻加成、技能加成、反击率、吸血率、效果命中、控制命中、吸血效果加成</t>
  </si>
  <si>
    <t>L3</t>
  </si>
  <si>
    <t>气血系数</t>
  </si>
  <si>
    <t>攻击系数</t>
  </si>
  <si>
    <t>防御系数</t>
  </si>
  <si>
    <t>命中系数</t>
  </si>
  <si>
    <t>闪避系数</t>
  </si>
  <si>
    <t>速度系数</t>
  </si>
  <si>
    <t>L4</t>
  </si>
  <si>
    <t>最终攻击</t>
  </si>
  <si>
    <t>最终防御</t>
  </si>
  <si>
    <t>DEF-L1</t>
  </si>
  <si>
    <t>气血、防御、闪避</t>
  </si>
  <si>
    <t>DEF-L2</t>
  </si>
  <si>
    <t>气血加成、防御加成、闪避加成</t>
  </si>
  <si>
    <t>B</t>
  </si>
  <si>
    <t>DEF-L3</t>
  </si>
  <si>
    <t>气血系数、防御系数、闪避系数</t>
  </si>
  <si>
    <t>输出转化-14</t>
  </si>
  <si>
    <t>暴击率</t>
  </si>
  <si>
    <t>暴击伤害</t>
  </si>
  <si>
    <t>连击率</t>
  </si>
  <si>
    <t>反击率</t>
  </si>
  <si>
    <t>真伤率</t>
  </si>
  <si>
    <t>DEF-MEC</t>
  </si>
  <si>
    <t>免伤率、伤害反弹、气血回复(%)、护盾加成、治疗强度加成、伤害反弹加成、闪避率、暴击抵抗、暴伤减免、真伤抗性、普攻抵抗、技能抵抗、控制豁免、效果抵抗</t>
  </si>
  <si>
    <t>伤害加成</t>
  </si>
  <si>
    <t>普攻加成</t>
  </si>
  <si>
    <t>技能加成</t>
  </si>
  <si>
    <t>伤害系数</t>
  </si>
  <si>
    <t>连击伤害系数</t>
  </si>
  <si>
    <t>反击伤害系数</t>
  </si>
  <si>
    <t>真伤伤害系数</t>
  </si>
  <si>
    <t>SHD-L1</t>
  </si>
  <si>
    <t>破甲、易伤</t>
  </si>
  <si>
    <t>最终伤害提升</t>
  </si>
  <si>
    <t>SHD-L2</t>
  </si>
  <si>
    <t>护盾削减、治疗强度削减、吸血效果削减、伤害反弹削减</t>
  </si>
  <si>
    <t>ALL-MEC</t>
  </si>
  <si>
    <t>初始能量、能量获取效率、溅射</t>
  </si>
  <si>
    <t>C</t>
  </si>
  <si>
    <t>生存对抗-16</t>
  </si>
  <si>
    <t>护盾</t>
  </si>
  <si>
    <t>免伤率</t>
  </si>
  <si>
    <t>伤害反弹</t>
  </si>
  <si>
    <t>气血回复(%)</t>
  </si>
  <si>
    <t>气血回复(固定)</t>
  </si>
  <si>
    <t>L3-通用</t>
  </si>
  <si>
    <t>伤害系数、连击伤害系数、反击伤害系数、真伤系数</t>
  </si>
  <si>
    <t>命中率</t>
  </si>
  <si>
    <t>闪避率</t>
  </si>
  <si>
    <t>暴击抵抗</t>
  </si>
  <si>
    <t>暴伤减免</t>
  </si>
  <si>
    <t>真伤抗性</t>
  </si>
  <si>
    <t>普攻抵抗</t>
  </si>
  <si>
    <t>技能抵抗</t>
  </si>
  <si>
    <t>控制豁免</t>
  </si>
  <si>
    <t>效果抵抗</t>
  </si>
  <si>
    <t>L4-通用</t>
  </si>
  <si>
    <t>免伤系数、最终攻击、最终防御、最终伤害提升、最终伤害减免</t>
  </si>
  <si>
    <t>免伤系数</t>
  </si>
  <si>
    <t>最终伤害减免</t>
  </si>
  <si>
    <t>ATK-ALL</t>
  </si>
  <si>
    <t>暴击率、暴击伤害、命中率、连击率、真伤率、伤害加成、普攻加成、技能加成、反击率、吸血率、效果命中、控制命中、吸血效果加成、破甲、易伤、伤害系数、连击伤害系数、反击伤害系数、真伤系数、护盾削减、治疗强度削减、吸血效果削减、伤害反弹削减、最终攻击、最终伤害提升</t>
  </si>
  <si>
    <t>DEF-ALL</t>
  </si>
  <si>
    <t>免伤率、伤害反弹、气血回复(%)、护盾加成、治疗强度加成、伤害反弹加成、闪避率、暴击抵抗、暴伤减免、真伤抗性、普攻抵抗、技能抵抗、控制豁免、效果抵抗、初始能量、能量获取效率、免伤系数、最终防御、最终伤害减免</t>
  </si>
  <si>
    <t>D</t>
  </si>
  <si>
    <t>状态层-10</t>
  </si>
  <si>
    <t>破甲%</t>
  </si>
  <si>
    <t>易伤%</t>
  </si>
  <si>
    <t>护盾削减%</t>
  </si>
  <si>
    <t>治疗削减%</t>
  </si>
  <si>
    <t>吸血削减%</t>
  </si>
  <si>
    <t>反伤削减%</t>
  </si>
  <si>
    <t>ATK-ADD</t>
  </si>
  <si>
    <t>攻击加成、命中加成、速度加成、伤害加成、普攻加成、技能加成</t>
  </si>
  <si>
    <t>护盾加成%</t>
  </si>
  <si>
    <t>治疗强度加成%</t>
  </si>
  <si>
    <t>吸血效果加成%</t>
  </si>
  <si>
    <t>伤害反弹加成%</t>
  </si>
  <si>
    <t>DEF-ADD</t>
  </si>
  <si>
    <t>气血加成、防御加成、闪避加成、护盾加成、治疗强度加成、伤害反弹加成</t>
  </si>
  <si>
    <t>F</t>
  </si>
  <si>
    <t>机制节奏-5</t>
  </si>
  <si>
    <t>吸血率</t>
  </si>
  <si>
    <t>溅射</t>
  </si>
  <si>
    <t>初始能量</t>
  </si>
  <si>
    <t>能量获取效率</t>
  </si>
  <si>
    <t>效果命中</t>
  </si>
  <si>
    <t>控制命中</t>
  </si>
  <si>
    <t>H</t>
  </si>
  <si>
    <t>机制-10</t>
  </si>
  <si>
    <t>破甲</t>
  </si>
  <si>
    <t>易伤</t>
  </si>
  <si>
    <t>吸血效果加成</t>
  </si>
  <si>
    <t>吸血效果削减</t>
  </si>
  <si>
    <t>护盾加成</t>
  </si>
  <si>
    <t>护盾削减</t>
  </si>
  <si>
    <t>治疗强度加成</t>
  </si>
  <si>
    <t>治疗强度削减</t>
  </si>
  <si>
    <t>伤害反弹加成</t>
  </si>
  <si>
    <t>伤害反弹削减</t>
  </si>
  <si>
    <t>数值类型</t>
  </si>
  <si>
    <t>说明</t>
  </si>
  <si>
    <t>属性价值SAP</t>
  </si>
  <si>
    <t>总投放数值</t>
  </si>
  <si>
    <t>软上限%</t>
  </si>
  <si>
    <t>来源</t>
  </si>
  <si>
    <t>数值</t>
  </si>
  <si>
    <t>角色生命值，归零即退场。</t>
  </si>
  <si>
    <t>伤害计算基数，越高伤害越高。</t>
  </si>
  <si>
    <t>抵扣受到的伤害，越高受伤越低。</t>
  </si>
  <si>
    <t>攻击命中判定的基础值，对抗目标闪避值。</t>
  </si>
  <si>
    <t>闪避判定的基础值，对抗目标命中值。</t>
  </si>
  <si>
    <t>决定每回合行动顺序，高者先动。</t>
  </si>
  <si>
    <t>百分比</t>
  </si>
  <si>
    <t>按百分比提高气血。</t>
  </si>
  <si>
    <t>流派-公共+18%</t>
  </si>
  <si>
    <t>按百分比提高攻击。</t>
  </si>
  <si>
    <t>按百分比提高防御。</t>
  </si>
  <si>
    <t>按百分比提高命中。</t>
  </si>
  <si>
    <t>按百分比提高闪避。</t>
  </si>
  <si>
    <t>按百分比提高速度。</t>
  </si>
  <si>
    <t>对气血进行独立乘区放大。</t>
  </si>
  <si>
    <t>流派-公共+16%</t>
  </si>
  <si>
    <t>对攻击进行独立乘区放大。</t>
  </si>
  <si>
    <t>对防御进行独立乘区放大。</t>
  </si>
  <si>
    <t>对命中进行独立乘区放大。</t>
  </si>
  <si>
    <t>对闪避进行独立乘区放大。</t>
  </si>
  <si>
    <t>对速度进行独立乘区放大。</t>
  </si>
  <si>
    <t>最终层提高攻击，不被任何乘区稀释。</t>
  </si>
  <si>
    <t>流派-公共+24%</t>
  </si>
  <si>
    <t>最终层提高防御，不被任何乘区稀释</t>
  </si>
  <si>
    <t>触发暴击的概率。</t>
  </si>
  <si>
    <t>武器</t>
  </si>
  <si>
    <t>宠物</t>
  </si>
  <si>
    <t>天赋</t>
  </si>
  <si>
    <t>流派</t>
  </si>
  <si>
    <t>流派-公共+10%</t>
  </si>
  <si>
    <t>流派-破军+16%</t>
  </si>
  <si>
    <t>暴击时的伤害倍率，基础通常为150%。</t>
  </si>
  <si>
    <t>流派16</t>
  </si>
  <si>
    <t>攻击后追加额外攻击段的概率。</t>
  </si>
  <si>
    <t>武器18%+9%</t>
  </si>
  <si>
    <t>护腕8%+4%</t>
  </si>
  <si>
    <t>坐骑+7%</t>
  </si>
  <si>
    <t>独立放大连击段的伤害。</t>
  </si>
  <si>
    <t>反击率%</t>
  </si>
  <si>
    <t>被攻击后触发反击的概率。</t>
  </si>
  <si>
    <t>独立放大反击段的伤害。</t>
  </si>
  <si>
    <t>将伤害基数的一定比例转化为无视防御的真实伤害。</t>
  </si>
  <si>
    <t>真伤系数</t>
  </si>
  <si>
    <t>独立放大真实伤害。</t>
  </si>
  <si>
    <t>按百分比提高造成的所有伤害。</t>
  </si>
  <si>
    <t>仅按百分比提高普攻伤害。</t>
  </si>
  <si>
    <t>流派12%</t>
  </si>
  <si>
    <t>仅按百分比提高技能伤害。</t>
  </si>
  <si>
    <t>对造成的伤害进行独立乘区放大。</t>
  </si>
  <si>
    <t>最终层提高造成的伤害。</t>
  </si>
  <si>
    <t>独立于气血的白字血量，优先吸收伤害。</t>
  </si>
  <si>
    <t>按百分比减少受到的伤害。</t>
  </si>
  <si>
    <t>将受到伤害的一定比例反弹给攻击者。</t>
  </si>
  <si>
    <t>每回合按最大气血百分比回复。</t>
  </si>
  <si>
    <t>每回合回复固定气血值。</t>
  </si>
  <si>
    <t>独立放大免伤效果。</t>
  </si>
  <si>
    <t>最终层减少受到的伤害。</t>
  </si>
  <si>
    <t>甲+10%+5%</t>
  </si>
  <si>
    <t>头+5%+5%</t>
  </si>
  <si>
    <t>鞋+5%+5%</t>
  </si>
  <si>
    <t>坐骑+10%</t>
  </si>
  <si>
    <t>直接提高最终命中概率，对抗目标闪避率。</t>
  </si>
  <si>
    <t>武器16%+8%</t>
  </si>
  <si>
    <t>戒指8%+5%</t>
  </si>
  <si>
    <t>饰品8%+5%</t>
  </si>
  <si>
    <t>宠物25%</t>
  </si>
  <si>
    <t>直接降低敌方对自己的最终命中概率。</t>
  </si>
  <si>
    <t>盔甲12%+6%</t>
  </si>
  <si>
    <t>头盔6%+3%</t>
  </si>
  <si>
    <t>鞋子6%+3%</t>
  </si>
  <si>
    <t>坐骑+25%</t>
  </si>
  <si>
    <t>降低敌方对自己的暴击率。</t>
  </si>
  <si>
    <t>坐骑+8%</t>
  </si>
  <si>
    <t>降低敌方对自己的暴击伤害。</t>
  </si>
  <si>
    <t>甲+24%+12%</t>
  </si>
  <si>
    <t>头+8%+8%</t>
  </si>
  <si>
    <t>鞋+8%+8%</t>
  </si>
  <si>
    <t>减少受到的真实伤害。</t>
  </si>
  <si>
    <t>减少受到的普攻伤害。</t>
  </si>
  <si>
    <t>减少受到的技能伤害。</t>
  </si>
  <si>
    <t>提升敌方被控制的概率。</t>
  </si>
  <si>
    <t>武器12%+6%</t>
  </si>
  <si>
    <t>饰品6%+3%</t>
  </si>
  <si>
    <t>宠物8%</t>
  </si>
  <si>
    <t>流派+6%</t>
  </si>
  <si>
    <t>降低被敌方控制的概率。</t>
  </si>
  <si>
    <t>降低被敌方减益/异常状态命中的概率。</t>
  </si>
  <si>
    <t>吸血率%</t>
  </si>
  <si>
    <t>造成伤害时按百分比转化为气血回复。</t>
  </si>
  <si>
    <t>戒指8%+4%</t>
  </si>
  <si>
    <t>饰品8%+4%</t>
  </si>
  <si>
    <t>宠物+7%</t>
  </si>
  <si>
    <t>效果命中%</t>
  </si>
  <si>
    <t>提高减益与异常状态的命中概率。</t>
  </si>
  <si>
    <t>戒指8%</t>
  </si>
  <si>
    <t>饰品8%</t>
  </si>
  <si>
    <t>宠物+8%</t>
  </si>
  <si>
    <t>流派+10%</t>
  </si>
  <si>
    <t>战斗开始时所拥有的能量值。</t>
  </si>
  <si>
    <t>武器20</t>
  </si>
  <si>
    <t>盔甲20</t>
  </si>
  <si>
    <t>宠物+20</t>
  </si>
  <si>
    <t>能量获取效率%</t>
  </si>
  <si>
    <t>按百分比放大所有来源获得的能量。</t>
  </si>
  <si>
    <t>武器20%+10%</t>
  </si>
  <si>
    <t>盔甲20%+10%</t>
  </si>
  <si>
    <t>饰品10%</t>
  </si>
  <si>
    <t>戒指10%</t>
  </si>
  <si>
    <t>坐骑+20%</t>
  </si>
  <si>
    <t>溅射%</t>
  </si>
  <si>
    <t>攻击主目标时对相邻目标造成的伤害比例。</t>
  </si>
  <si>
    <t>降低目标防御，可叠加层数。</t>
  </si>
  <si>
    <t>武器10%+5%</t>
  </si>
  <si>
    <t>饰品4%+2%</t>
  </si>
  <si>
    <t>宠物5%</t>
  </si>
  <si>
    <t>提高目标受到的伤害。</t>
  </si>
  <si>
    <t>宠物20%</t>
  </si>
  <si>
    <t>流派20%</t>
  </si>
  <si>
    <t>放大所有来源提供的护盾值。</t>
  </si>
  <si>
    <t>盔甲24%+12%</t>
  </si>
  <si>
    <t>头盔11%+6%</t>
  </si>
  <si>
    <t>鞋子11%+6%</t>
  </si>
  <si>
    <t>流派+30%</t>
  </si>
  <si>
    <t>降低目标获得的护盾值。</t>
  </si>
  <si>
    <t>宠物10%</t>
  </si>
  <si>
    <t>流派10%</t>
  </si>
  <si>
    <t>反伤加成%</t>
  </si>
  <si>
    <t>放大反弹伤害的数值。</t>
  </si>
  <si>
    <t>盔甲50%+25%</t>
  </si>
  <si>
    <t>头盔25%+10%</t>
  </si>
  <si>
    <t>鞋子25%+10%</t>
  </si>
  <si>
    <t>坐骑+50%</t>
  </si>
  <si>
    <t>流派+50%</t>
  </si>
  <si>
    <t>降低目标反弹伤害的数值。</t>
  </si>
  <si>
    <t>吸血加成%</t>
  </si>
  <si>
    <t>放大吸血回复量。</t>
  </si>
  <si>
    <t>降低目标吸血的回复量。</t>
  </si>
  <si>
    <t>治疗加成%</t>
  </si>
  <si>
    <t>放大提供的治疗效果。</t>
  </si>
  <si>
    <t>降低目标受到的治疗效果。</t>
  </si>
  <si>
    <t>金钱加成</t>
  </si>
  <si>
    <t>幸运</t>
  </si>
  <si>
    <t>角色气运的体现，影响随机事件的偏向：幸运越高，越容易获得掉落与稀有产出</t>
  </si>
  <si>
    <t>五行攻击%</t>
  </si>
  <si>
    <t>将一定比例伤害转化为对应五行属性伤害。</t>
  </si>
  <si>
    <t>五行抗性%</t>
  </si>
  <si>
    <t>减少受到的对应五行属性伤害。</t>
  </si>
  <si>
    <t>金属性攻击%</t>
  </si>
  <si>
    <t>木属性攻击%</t>
  </si>
  <si>
    <t>水属性攻击%</t>
  </si>
  <si>
    <t>火属性攻击%</t>
  </si>
  <si>
    <t>土属性攻击%</t>
  </si>
  <si>
    <t>金属性抗性%</t>
  </si>
  <si>
    <t>木属性抗性%</t>
  </si>
  <si>
    <t>水属性抗性%</t>
  </si>
  <si>
    <t>火属性抗性%</t>
  </si>
  <si>
    <t>土属性抗性%</t>
  </si>
  <si>
    <t>等级</t>
  </si>
  <si>
    <t>每级自由属性点</t>
  </si>
  <si>
    <t>丹药属性点</t>
  </si>
  <si>
    <t>类型</t>
  </si>
  <si>
    <t>常用描述</t>
  </si>
  <si>
    <t>示例</t>
  </si>
  <si>
    <t>转换</t>
  </si>
  <si>
    <t>一级属性</t>
  </si>
  <si>
    <t>属性点</t>
  </si>
  <si>
    <t>每级属性</t>
  </si>
  <si>
    <t>第一层</t>
  </si>
  <si>
    <t>基础数值</t>
  </si>
  <si>
    <t>BASE+ADDITIVE</t>
  </si>
  <si>
    <t>+100攻击</t>
  </si>
  <si>
    <t>第二层</t>
  </si>
  <si>
    <t>百分比加成</t>
  </si>
  <si>
    <t>PERCENTAGE</t>
  </si>
  <si>
    <t>加成</t>
  </si>
  <si>
    <t>+10%攻击加成</t>
  </si>
  <si>
    <t>第三层</t>
  </si>
  <si>
    <t>独立乘区</t>
  </si>
  <si>
    <t>MULTIPLICATIVE</t>
  </si>
  <si>
    <t>系数</t>
  </si>
  <si>
    <t>+10%攻击系数</t>
  </si>
  <si>
    <t>第四层</t>
  </si>
  <si>
    <t>最终乘区</t>
  </si>
  <si>
    <t>FINAL</t>
  </si>
  <si>
    <t>+10%最终攻击</t>
  </si>
  <si>
    <t>系统</t>
  </si>
  <si>
    <t>总属性点</t>
  </si>
  <si>
    <t>权重</t>
  </si>
  <si>
    <t>占比</t>
  </si>
  <si>
    <t>提供属性</t>
  </si>
  <si>
    <t>属性A</t>
  </si>
  <si>
    <t>装备</t>
  </si>
  <si>
    <t>100%x强化15(1.6)x满级升星(1.25)</t>
  </si>
  <si>
    <t>属性A B C D E F + 属性增幅</t>
  </si>
  <si>
    <t>总装备</t>
  </si>
  <si>
    <t>主属性</t>
  </si>
  <si>
    <t>附加属性</t>
  </si>
  <si>
    <t>流派树</t>
  </si>
  <si>
    <t>技能 + 特性 + 属性增幅</t>
  </si>
  <si>
    <t>属性A B C D E F + 独立乘区</t>
  </si>
  <si>
    <t>系数6</t>
  </si>
  <si>
    <t>加成18</t>
  </si>
  <si>
    <t>坐骑</t>
  </si>
  <si>
    <t>资质1.6x</t>
  </si>
  <si>
    <t>法宝</t>
  </si>
  <si>
    <t>神器</t>
  </si>
  <si>
    <t>总属性点:</t>
  </si>
  <si>
    <t>统一属性价值模型 = 基础价值 + 期望收益 + 条件覆盖率 + 乘区位置 + 边际衰减</t>
  </si>
  <si>
    <t>1标准属性点</t>
  </si>
  <si>
    <t>=</t>
  </si>
  <si>
    <t>12气血</t>
  </si>
  <si>
    <t>2攻击</t>
  </si>
  <si>
    <t>2防御</t>
  </si>
  <si>
    <t>2命中</t>
  </si>
  <si>
    <t>2闪避</t>
  </si>
  <si>
    <t>2速度</t>
  </si>
  <si>
    <t>来源: 武器、戒指、护符</t>
  </si>
  <si>
    <t>同一装备最多出现1条真实伤害率词条。</t>
  </si>
  <si>
    <t>流派投放15%</t>
  </si>
  <si>
    <t>天赋投放10</t>
  </si>
  <si>
    <t>条件型真伤</t>
  </si>
  <si>
    <t>投放</t>
  </si>
  <si>
    <t>普攻伤害减免%</t>
  </si>
  <si>
    <t>技能伤害减免%</t>
  </si>
  <si>
    <t>将一部分伤害转化为真实伤害。不允许超过100%，普通伤害基数 = 伤害基数 × (1 - 真实伤害率%)</t>
  </si>
  <si>
    <t>真伤追加值</t>
  </si>
  <si>
    <t>10%-25%</t>
  </si>
  <si>
    <t>部位</t>
  </si>
  <si>
    <t>固定属性</t>
  </si>
  <si>
    <t>轻</t>
  </si>
  <si>
    <t>中</t>
  </si>
  <si>
    <t>重</t>
  </si>
  <si>
    <t>剑</t>
  </si>
  <si>
    <t>棍</t>
  </si>
  <si>
    <t>锤</t>
  </si>
  <si>
    <t>护甲</t>
  </si>
  <si>
    <t>布甲</t>
  </si>
  <si>
    <t>皮甲</t>
  </si>
  <si>
    <t>盔甲</t>
  </si>
  <si>
    <t>头部</t>
  </si>
  <si>
    <t>面</t>
  </si>
  <si>
    <t>冠</t>
  </si>
  <si>
    <t>头盔</t>
  </si>
  <si>
    <t>脚部</t>
  </si>
  <si>
    <t>布靴</t>
  </si>
  <si>
    <t>皮靴</t>
  </si>
  <si>
    <t>战靴</t>
  </si>
  <si>
    <t>护符</t>
  </si>
  <si>
    <t>—</t>
  </si>
  <si>
    <t>护腕</t>
  </si>
  <si>
    <t>品阶</t>
  </si>
  <si>
    <t>强化上限</t>
  </si>
  <si>
    <t>品质</t>
  </si>
  <si>
    <t>词条数量</t>
  </si>
  <si>
    <t>词条</t>
  </si>
  <si>
    <t>凡品</t>
  </si>
  <si>
    <t>凡</t>
  </si>
  <si>
    <t>核心属性</t>
  </si>
  <si>
    <t>主要词条</t>
  </si>
  <si>
    <t>玄品</t>
  </si>
  <si>
    <t>精</t>
  </si>
  <si>
    <t>固定</t>
  </si>
  <si>
    <t>随机取一条</t>
  </si>
  <si>
    <t>地品</t>
  </si>
  <si>
    <t>超</t>
  </si>
  <si>
    <t>连击率%</t>
  </si>
  <si>
    <t>速度加成%</t>
  </si>
  <si>
    <t>命中加成%</t>
  </si>
  <si>
    <t>普攻伤害%</t>
  </si>
  <si>
    <t>天品</t>
  </si>
  <si>
    <t>绝</t>
  </si>
  <si>
    <t>刺</t>
  </si>
  <si>
    <t>闪避率%</t>
  </si>
  <si>
    <t>闪避加成%</t>
  </si>
  <si>
    <t>攻击加成%</t>
  </si>
  <si>
    <t>仙品</t>
  </si>
  <si>
    <t>神</t>
  </si>
  <si>
    <t>暴击伤害%</t>
  </si>
  <si>
    <t>真伤%</t>
  </si>
  <si>
    <t>刀</t>
  </si>
  <si>
    <t>暴击率%</t>
  </si>
  <si>
    <t>技能伤害%</t>
  </si>
  <si>
    <t>气血加成%</t>
  </si>
  <si>
    <t>反伤%</t>
  </si>
  <si>
    <t>暴击抵抗%</t>
  </si>
  <si>
    <t>暴伤减免%</t>
  </si>
  <si>
    <t>效果抵抗%</t>
  </si>
  <si>
    <t>阶位</t>
  </si>
  <si>
    <t>免伤率%</t>
  </si>
  <si>
    <t>0.5 - 0.6</t>
  </si>
  <si>
    <t>无</t>
  </si>
  <si>
    <t>饰品</t>
  </si>
  <si>
    <t>0.6 - 0.7</t>
  </si>
  <si>
    <t>0.7 - 0.8</t>
  </si>
  <si>
    <t>0.8 - 0.9</t>
  </si>
  <si>
    <t>0.9 - 1.0</t>
  </si>
  <si>
    <t>独立系数</t>
  </si>
  <si>
    <t>等级段</t>
  </si>
  <si>
    <t>1 - 10</t>
  </si>
  <si>
    <t>11 - 20</t>
  </si>
  <si>
    <t>21 - 30</t>
  </si>
  <si>
    <t>31 - 40</t>
  </si>
  <si>
    <t>41 - 50</t>
  </si>
  <si>
    <t>附加属性规则</t>
  </si>
  <si>
    <t>布鞋</t>
  </si>
  <si>
    <t>皮鞋</t>
  </si>
  <si>
    <t>基础属性</t>
  </si>
  <si>
    <t>生存对抗</t>
  </si>
  <si>
    <t>ATK-MEC、SHD-L2</t>
  </si>
  <si>
    <t>DEF-MEC、ALL-MEC</t>
  </si>
  <si>
    <t>机制功能</t>
  </si>
  <si>
    <t>L3-通用、ATK-L3</t>
  </si>
  <si>
    <t>L4-通用、DEF-L3</t>
  </si>
  <si>
    <t>词条数值成长设计方案</t>
  </si>
  <si>
    <t>词条数值随等级线性成长</t>
  </si>
  <si>
    <t>品质系数独立放大词条数值</t>
  </si>
  <si>
    <t>不同属性采用不同的成长速率</t>
  </si>
  <si>
    <t>满级</t>
  </si>
  <si>
    <t>基数</t>
  </si>
  <si>
    <t>等级成长</t>
  </si>
  <si>
    <t>攻击加成、命中加成、速度加成、气血加成、防御加成、闪避加成</t>
  </si>
  <si>
    <t>下限</t>
  </si>
  <si>
    <t>上限</t>
  </si>
  <si>
    <t>攻击系数、命中系数、速度系数、气血系数、防御系数、闪避系数</t>
  </si>
  <si>
    <t>命中率、闪避率、吸血率、效果命中、控制命中</t>
  </si>
  <si>
    <t>反击率、真伤率、暴击率、伤害反弹、暴击抵抗</t>
  </si>
  <si>
    <t>暴击伤害、暴伤减免、伤害系数、连击伤害系数、反击伤害系数、真伤系数、最终攻击、最终防御</t>
  </si>
  <si>
    <t>伤害加成、普攻加成、技能加成、护盾加成、治疗强度加成、伤害反弹加成、最终伤害提升、吸血效果加成</t>
  </si>
  <si>
    <t>真伤抗性、普攻抵抗、技能抵抗、控制豁免、效果抵抗、破甲</t>
  </si>
  <si>
    <t>免伤率、免伤系数、最终伤害减免</t>
  </si>
  <si>
    <t>宠物与坐骑</t>
  </si>
  <si>
    <t>#</t>
  </si>
  <si>
    <t>名称</t>
  </si>
  <si>
    <t>效果</t>
  </si>
  <si>
    <t>预算归属</t>
  </si>
  <si>
    <t>锋锐</t>
  </si>
  <si>
    <t>自身气血≥80%时，伤害+6%</t>
  </si>
  <si>
    <t>蓝</t>
  </si>
  <si>
    <t>条件加成</t>
  </si>
  <si>
    <t>战意</t>
  </si>
  <si>
    <t>每次行动后伤害+2%，最多3层，脱战重置</t>
  </si>
  <si>
    <t>斩杀</t>
  </si>
  <si>
    <t>对气血&lt;35%目标伤害+8%</t>
  </si>
  <si>
    <t>橙</t>
  </si>
  <si>
    <t>破甲之势</t>
  </si>
  <si>
    <t>攻击带破甲目标时伤害+6%</t>
  </si>
  <si>
    <t>切后之势</t>
  </si>
  <si>
    <t>对暴露后排目标伤害+8%</t>
  </si>
  <si>
    <t>紫</t>
  </si>
  <si>
    <t>磐石</t>
  </si>
  <si>
    <t>护盾存在时免伤+5%</t>
  </si>
  <si>
    <t>免伤70%上限</t>
  </si>
  <si>
    <t>不屈</t>
  </si>
  <si>
    <t>气血&lt;50%时免伤+6%</t>
  </si>
  <si>
    <t>厚土</t>
  </si>
  <si>
    <t>护盾获取+10%</t>
  </si>
  <si>
    <t>护盾80%上限</t>
  </si>
  <si>
    <t>回春</t>
  </si>
  <si>
    <t>回合开始回复2%最大气血</t>
  </si>
  <si>
    <t>回复预算</t>
  </si>
  <si>
    <t>净化</t>
  </si>
  <si>
    <t>回合开始25%概率净化1个减益</t>
  </si>
  <si>
    <t>机制</t>
  </si>
  <si>
    <t>地脉</t>
  </si>
  <si>
    <t>受击后获得受击伤害30%的护盾（每回合≤10%最大气血）</t>
  </si>
  <si>
    <t>汲取</t>
  </si>
  <si>
    <t>吸血率+4%</t>
  </si>
  <si>
    <t>吸血预算</t>
  </si>
  <si>
    <t>反制</t>
  </si>
  <si>
    <t>反击率+5%</t>
  </si>
  <si>
    <t>反击80%上限</t>
  </si>
  <si>
    <t>连势</t>
  </si>
  <si>
    <t>连击率+5%</t>
  </si>
  <si>
    <t>连击230%软上限</t>
  </si>
  <si>
    <t>会心</t>
  </si>
  <si>
    <t>暴击率+4%</t>
  </si>
  <si>
    <t>暴击预算</t>
  </si>
  <si>
    <t>荆棘</t>
  </si>
  <si>
    <t>反伤+5%</t>
  </si>
  <si>
    <t>反伤60%上限</t>
  </si>
  <si>
    <t>溅射+5%</t>
  </si>
  <si>
    <t>溅射预算</t>
  </si>
  <si>
    <t>疾影</t>
  </si>
  <si>
    <t>速度+3%</t>
  </si>
  <si>
    <t>速度克制预算</t>
  </si>
  <si>
    <t>聚气</t>
  </si>
  <si>
    <t>能量获取效率+6%</t>
  </si>
  <si>
    <t>能量预算</t>
  </si>
  <si>
    <t>先手</t>
  </si>
  <si>
    <t>每回合首次行动伤害+6%</t>
  </si>
  <si>
    <t>蓄势</t>
  </si>
  <si>
    <t>首回合速度+5%</t>
  </si>
  <si>
    <t>开局</t>
  </si>
  <si>
    <t>初始能量+10</t>
  </si>
  <si>
    <t>洞察</t>
  </si>
  <si>
    <t>命中率+4%</t>
  </si>
  <si>
    <t>命中95%上限</t>
  </si>
  <si>
    <t>轻身</t>
  </si>
  <si>
    <t>闪避率+4%</t>
  </si>
  <si>
    <t>闪避70%软上限</t>
  </si>
  <si>
    <t>寒冰</t>
  </si>
  <si>
    <t>暴击抵抗+5%</t>
  </si>
  <si>
    <t>对抗预算</t>
  </si>
  <si>
    <t>铁壁</t>
  </si>
  <si>
    <t>暴伤减免+6%</t>
  </si>
  <si>
    <t>定心</t>
  </si>
  <si>
    <t>控制豁免+5%</t>
  </si>
  <si>
    <t>财运</t>
  </si>
  <si>
    <t>金钱获取+10%</t>
  </si>
  <si>
    <t>经济（不占战斗预算）</t>
  </si>
  <si>
    <t>灵悟</t>
  </si>
  <si>
    <t>经验获取+8%</t>
  </si>
  <si>
    <t>经济</t>
  </si>
  <si>
    <t>寻宝</t>
  </si>
  <si>
    <t>装备掉落率+5%</t>
  </si>
  <si>
    <t>限定</t>
  </si>
  <si>
    <t>剑意·流光</t>
  </si>
  <si>
    <t>剑·连战</t>
  </si>
  <si>
    <t>连击触发后下次伤害+4%，最多3层，下回合重置</t>
  </si>
  <si>
    <t>棍法·回手</t>
  </si>
  <si>
    <t>棍·幻影</t>
  </si>
  <si>
    <t>反击触发后下次攻击伤害+8%</t>
  </si>
  <si>
    <t>锤势·碎甲</t>
  </si>
  <si>
    <t>锤·破军</t>
  </si>
  <si>
    <t>暴击时30%追加1层破甲（每回合≤2次）</t>
  </si>
  <si>
    <t>破甲预算</t>
  </si>
  <si>
    <t>斩杀刃</t>
  </si>
  <si>
    <t>武器·破军</t>
  </si>
  <si>
    <t>对气血&lt;35%目标暴击率+5%</t>
  </si>
  <si>
    <t>风刃</t>
  </si>
  <si>
    <t>武器·连战</t>
  </si>
  <si>
    <t>连击触发时20%获得1层风势（每回合≤2次）</t>
  </si>
  <si>
    <t>流派资源</t>
  </si>
  <si>
    <t>岩甲</t>
  </si>
  <si>
    <t>衣服·不动</t>
  </si>
  <si>
    <t>护盾存在时反伤+5%</t>
  </si>
  <si>
    <t>云丝甲</t>
  </si>
  <si>
    <t>闪避+3%，受到伤害-2%</t>
  </si>
  <si>
    <t>闪避70%/承伤</t>
  </si>
  <si>
    <t>鳞甲</t>
  </si>
  <si>
    <t>受击时反击率+5%</t>
  </si>
  <si>
    <t>重铠</t>
  </si>
  <si>
    <t>免伤+4%，速度-2%</t>
  </si>
  <si>
    <t>地脉甲</t>
  </si>
  <si>
    <t>气血&lt;50%时护盾获取+15%</t>
  </si>
  <si>
    <t>紫冠</t>
  </si>
  <si>
    <t>能量获取效率+8%</t>
  </si>
  <si>
    <t>铁盔</t>
  </si>
  <si>
    <t>灵面</t>
  </si>
  <si>
    <t>效果抵抗+6%</t>
  </si>
  <si>
    <t>战盔</t>
  </si>
  <si>
    <t>头盔·连战</t>
  </si>
  <si>
    <t>慧冠</t>
  </si>
  <si>
    <t>初始能量+15</t>
  </si>
  <si>
    <t>云步</t>
  </si>
  <si>
    <t>战步</t>
  </si>
  <si>
    <t>前排受到伤害-4%（抵消站位惩罚）</t>
  </si>
  <si>
    <t>站位修正</t>
  </si>
  <si>
    <t>影步</t>
  </si>
  <si>
    <t>靴·幻影</t>
  </si>
  <si>
    <t>闪避后下次命中+6%、伤害+4%</t>
  </si>
  <si>
    <t>疾步</t>
  </si>
  <si>
    <t>靴</t>
  </si>
  <si>
    <t>首回合速度+6%</t>
  </si>
  <si>
    <t>稳步</t>
  </si>
  <si>
    <t>控制豁免+6%</t>
  </si>
  <si>
    <t>连击之戒</t>
  </si>
  <si>
    <t>戒·连战</t>
  </si>
  <si>
    <t>连击率+6%</t>
  </si>
  <si>
    <t>暴击之戒</t>
  </si>
  <si>
    <t>戒·破军</t>
  </si>
  <si>
    <t>暴击伤害+8%</t>
  </si>
  <si>
    <t>暴伤300~350%</t>
  </si>
  <si>
    <t>荆棘之戒</t>
  </si>
  <si>
    <t>戒·不动</t>
  </si>
  <si>
    <t>反伤+6%</t>
  </si>
  <si>
    <t>真伤之戒</t>
  </si>
  <si>
    <t>戒</t>
  </si>
  <si>
    <t>真伤率+4%</t>
  </si>
  <si>
    <t>真伤预算</t>
  </si>
  <si>
    <t>吸血之戒</t>
  </si>
  <si>
    <t>吸血率+5%</t>
  </si>
  <si>
    <t>灭世·斩</t>
  </si>
  <si>
    <t>目标气血&lt;25%时，最终伤害提升+4%</t>
  </si>
  <si>
    <t>最终提升预算</t>
  </si>
  <si>
    <t>不动·山</t>
  </si>
  <si>
    <t>自身气血&lt;40%时，最终伤害减免+4%</t>
  </si>
  <si>
    <t>最终减免预算</t>
  </si>
  <si>
    <t>孤勇·绝</t>
  </si>
  <si>
    <t>无存活队友时，最终伤害提升+6%、命中率+5%</t>
  </si>
  <si>
    <t>同心·阵</t>
  </si>
  <si>
    <t>4队友全存活时，最终伤害提升+3%、免伤+3%</t>
  </si>
  <si>
    <t>双预算</t>
  </si>
  <si>
    <t>狂血</t>
  </si>
  <si>
    <t>伤害+12%，受到伤害+8%</t>
  </si>
  <si>
    <t>glass心（脆心）</t>
  </si>
  <si>
    <t>暴击率+10%，最大气血-8%</t>
  </si>
  <si>
    <t>弃防</t>
  </si>
  <si>
    <t>攻击加成+15%，防御-25%</t>
  </si>
  <si>
    <t>L2加成</t>
  </si>
  <si>
    <t>疾杀令</t>
  </si>
  <si>
    <t>速度+8%，免伤-5%</t>
  </si>
  <si>
    <t>速度克制</t>
  </si>
  <si>
    <t>燃血契</t>
  </si>
  <si>
    <t>吸血率+8%，受到治疗-20%</t>
  </si>
  <si>
    <t>先锋志</t>
  </si>
  <si>
    <t>前排时：反伤+8%、护盾获取+10%</t>
  </si>
  <si>
    <t>反伤60%/护盾80%</t>
  </si>
  <si>
    <t>藏锋意</t>
  </si>
  <si>
    <t>后排时：暴击率+5%，切后承伤+15%降为+8%</t>
  </si>
  <si>
    <t>暴击/站位修正</t>
  </si>
  <si>
    <t>暴露之怒</t>
  </si>
  <si>
    <t>暴露时：伤害+10%、命中率+5%</t>
  </si>
  <si>
    <t>列阵之势</t>
  </si>
  <si>
    <t>列攻击伤害+6%</t>
  </si>
  <si>
    <t>同列之约</t>
  </si>
  <si>
    <t>同列前排存活时伤害+5%；前排死亡时获15%最大气血护盾（取最高，一次性）</t>
  </si>
  <si>
    <t>护盾80%</t>
  </si>
  <si>
    <t>后手击</t>
  </si>
  <si>
    <t>本轮最后行动时伤害+8%</t>
  </si>
  <si>
    <t>先手击</t>
  </si>
  <si>
    <t>本轮最先行动时伤害+6%、命中+4%</t>
  </si>
  <si>
    <t>满盈之势</t>
  </si>
  <si>
    <t>能量满时伤害+5%</t>
  </si>
  <si>
    <t>杀意回</t>
  </si>
  <si>
    <t>击杀后回20能量（每回合1次）</t>
  </si>
  <si>
    <t>必杀之息</t>
  </si>
  <si>
    <t>每3回合首次攻击必暴击（妖王降为暴击+30%）</t>
  </si>
  <si>
    <t>克制目标</t>
  </si>
  <si>
    <t>穿棘刃</t>
  </si>
  <si>
    <t>50%伤害无视反伤结算</t>
  </si>
  <si>
    <t>反不动反伤</t>
  </si>
  <si>
    <t>精准之眼</t>
  </si>
  <si>
    <t>无视目标20%闪避率（命中仍≤95%）</t>
  </si>
  <si>
    <t>反幻影闪避</t>
  </si>
  <si>
    <t>破盾锤</t>
  </si>
  <si>
    <t>护盾伤害+15%，破盾后1回合命中+5%</t>
  </si>
  <si>
    <t>反不动护盾</t>
  </si>
  <si>
    <t>拒斩体</t>
  </si>
  <si>
    <t>免疫斩杀；气血&lt;35%时免伤+8%</t>
  </si>
  <si>
    <t>反破军斩杀</t>
  </si>
  <si>
    <t>净化打击</t>
  </si>
  <si>
    <t>命中后30%净化目标1个增益（每回合≤2次）</t>
  </si>
  <si>
    <t>反buff流</t>
  </si>
  <si>
    <t>五行放大</t>
  </si>
  <si>
    <t>五行附加伤害+8%、异常成功率+5%（仍不暴击不连击）</t>
  </si>
  <si>
    <t>五行预算</t>
  </si>
  <si>
    <t>异常利用</t>
  </si>
  <si>
    <t>攻击带异常目标伤害+6%</t>
  </si>
  <si>
    <t>五行护体</t>
  </si>
  <si>
    <t>五行抗性+10%，回合开始20%净化自身五行异常</t>
  </si>
  <si>
    <t>五行抗性</t>
  </si>
  <si>
    <t>挑战层内伤害+5%、掉落+5%</t>
  </si>
  <si>
    <t>高层追求</t>
  </si>
  <si>
    <t>福缘</t>
  </si>
  <si>
    <t>装备掉落+6%，词条roll值+5%</t>
  </si>
  <si>
    <t>洗练追求</t>
  </si>
  <si>
    <t>匠心</t>
  </si>
  <si>
    <t>强化费用-15%，升星材料-10%</t>
  </si>
  <si>
    <t>经济减压</t>
  </si>
  <si>
    <t>范围</t>
  </si>
  <si>
    <t>连战</t>
  </si>
  <si>
    <t>被动</t>
  </si>
  <si>
    <t>普攻叠风势,每层+5%连击，最高8层</t>
  </si>
  <si>
    <t>触发连击时，降敌敌人5%防御，最高6层</t>
  </si>
  <si>
    <t>本回合每触发1段连击，普攻系数+5%(最高+25%)，下回合重置</t>
  </si>
  <si>
    <t>风势满层后，添加的风势转为风痕，每层风痕，敌人易伤+5%</t>
  </si>
  <si>
    <t>连击段对随机另一名敌人造成50%溅射伤害</t>
  </si>
  <si>
    <t>风势满层后，每次普攻消耗1层风势，该次普攻系数+30%</t>
  </si>
  <si>
    <t>风势缠身</t>
  </si>
  <si>
    <t>每次普攻或连击命中，为目标叠加 1 层【风势】（上限 8 层）。
每层风势使目标受到的连击伤害 +3%。
当风势达到 8 层后，继续叠加的风势转化为【风痕】，每层风痕使目标受到的所有伤害 +5%（上限 10 层），持续到战斗结束且不可驱散。
若目标同时存在风势与风痕，则风势提供的连击伤害加成额外 +1%/层（最多 +8%）。</t>
  </si>
  <si>
    <t>裂甲刻印</t>
  </si>
  <si>
    <t>连击第 3 段及以后，每次命中为目标叠加 1 层【裂甲】（破甲），每层使目标防御 -4%，持续 2 回合，最多叠加 5 层。
当目标裂甲达到 5 层时，下一次普攻将消耗全部裂甲，每层使本次普攻伤害 +15%，并额外追加 2 段连击（该连击伤害系数每层 +10%）。
消耗裂甲后，目标进入“碎甲”状态 1 回合：受到的所有伤害 +10%，且无法获得护盾。</t>
  </si>
  <si>
    <t>暴伤、真伤、护盾主属性</t>
  </si>
  <si>
    <t>连击风暴</t>
  </si>
  <si>
    <t>每次触发连击后，自身获得 1 层【风意】（上限 5 层），每层使连击率 +5%、连击伤害系数 +5%。
当风意达到 3 层时，下一次行动开始时消耗全部风意进入【疾风】1回合，连击率+30%，每段连击50%概率使目标速度-5%（可叠3层）。。
获得一次再次行动，并回复自身10%最大气血和10最大气血的护盾。</t>
  </si>
  <si>
    <t>破军</t>
  </si>
  <si>
    <t>破绽烙印</t>
  </si>
  <si>
    <t>暴击时，为目标附加 1 层【破绽】（上限 3 层），每层破绽使目标免伤 -3%。
攻击带有破绽的目标时，每层破绽使暴击伤害 +8%。
当目标破绽达到 3 层时，下一次暴击将消耗全部破绽，每层追加一段 60% 攻击力的真实伤害（最多 3 段），且该次暴击无视目标 20% 防御。
消耗破绽后，目标进入“暴露”状态 1 回合：受到的暴击率 +10%。</t>
  </si>
  <si>
    <t>暴怒循环</t>
  </si>
  <si>
    <t>连续 2 次攻击未暴击后，下一次攻击必定暴击（内置冷却 2 回合）。
每次暴击后，自身获得 1 层【暴怒】，每层使暴击伤害 +5%，持续 2 回合，最多叠加 3 层。
当暴怒达到 3 层时，下一次暴击将消耗全部暴怒，使该次暴击伤害额外 +30%，且该次暴击必定命中、无视目标 15% 闪避率。
消耗暴怒后，自身获得 1 回合“狂怒”状态：暴击率 +20%，但受到伤害 +10%。</t>
  </si>
  <si>
    <t>斩灭之锋</t>
  </si>
  <si>
    <t>对气血低于 50% 的目标，暴击率 +10%，暴击伤害 +25%。
对气血低于 25% 的目标，暴击无视目标 50% 防御。
当暴击击破目标护盾时，对目标追加 30% 攻击力的真实伤害，并使其 1 回合内受到的治疗效果 -30%。
暴击溢出伤害（超出目标剩余气血的部分）的 50% 溅射到相邻敌人（真实伤害）。
暴击击杀目标后，回复自身最大气血 8%，并获得 1 回合暴伤 +10%。</t>
  </si>
  <si>
    <t>节点类型</t>
  </si>
  <si>
    <t>不动</t>
  </si>
  <si>
    <t>磐石壁垒</t>
  </si>
  <si>
    <t>每回合开始时，若自身没有护盾，则获得最大气血 8% 的护盾。
获得护盾时，护盾值额外 +15%。
护盾存在期间，自身受到的所有伤害额外降低 8%，并且免伤独立 +6%。
当护盾破碎时，立即对全体敌人造成自身防御值 120% 的真实伤害，并获得【怒目】2 回合（反伤 +40%、嘲讽）。
若护盾破碎时自身气血低于 30%，额外回复 10% 最大气血（溢出的气血转为护盾）。</t>
  </si>
  <si>
    <t>通用属性节点</t>
  </si>
  <si>
    <t>荆棘反噬</t>
  </si>
  <si>
    <t>受到攻击时，反弹受到伤害的 15% 为真实伤害（不受反伤上限限制，但总反伤仍受 60% 上限约束）。
受到近战攻击时，额外对攻击者造成防御值 30% 的固定反伤。
护盾存在期间，反伤效果提升 25%。
每次成功反伤，有 30% 概率使攻击者速度 -10%，持续 2 回合（可叠 2 层）。
每次成功反伤，自身获得 1 层【荆棘】，每层使反伤伤害 +5%，持续 2 回合，最多 3 层。</t>
  </si>
  <si>
    <t>专属流派节点</t>
  </si>
  <si>
    <t>不动明王</t>
  </si>
  <si>
    <t>自身气血每降低 10%，免伤 +2%（上限 +10%）。
当气血低于 50% 时，每回合回复 5% 最大气血。
受到的单次伤害若超过自身最大气血 15%，该次伤害的超出部分有 40% 被返还为真实伤害给攻击者（每个攻击者每回合最多触发 1 次）。
护盾存在时，队友受到的伤害降低 10%，自身承受该伤害的 50%（此伤害可被免伤和护盾吸收）。
若自身承受队友伤害后护盾破碎，立即获得 1 回合免伤 +20%。</t>
  </si>
  <si>
    <t>被动技能节点</t>
  </si>
  <si>
    <t>幻影</t>
  </si>
  <si>
    <t>幻影反击</t>
  </si>
  <si>
    <t>成功闪避后，立即对攻击者发动一次反击，造成 80% 攻击力的伤害（可暴击，不可连击，受反击率上限 80% 和每回合 2~3 次限制）。
该反击有 30% 概率致盲目标 1 回合（命中 -30%）。
反击后，自身获得 1 层【影袭】，使下一次攻击必定命中且伤害 +10%。
反击命中时，目标若处于致盲状态，则额外造成 20% 攻击力的真实伤害。</t>
  </si>
  <si>
    <t>主动小技能节点</t>
  </si>
  <si>
    <t>例如：</t>
  </si>
  <si>
    <t>残影叠层</t>
  </si>
  <si>
    <t>每次成功闪避，获得 1 层【残影】（上限 5 层），每层残影使自身闪避率 + 3%和速度 + 2%。
残影持续到战斗结束，但每次受到攻击会消耗 1 层残影（即使未闪避）。
当残影达到 3 层时，受到的下一次伤害降低 25%。
当残影达到 5 层时，下一次行动必定触发强化影袭（130% 倍率反击，无视目标 15% 防御）。
残影满层时，闪避后回复自身最大气血 3%。</t>
  </si>
  <si>
    <t>主动大技能节点</t>
  </si>
  <si>
    <t>终极节点示例</t>
  </si>
  <si>
    <t>疾风之影</t>
  </si>
  <si>
    <t>速度高于攻击者时，额外获得10%闪避率。
成功闪避后，自身速度加成+5，持续1回合（可叠加2层）。
每回合第一次成功闪避后，回复自身最大气血 3%。
当自身速度高于敌方全体时，回合开始时获得 1 层【先手增强】，使本回合首次攻击伤害 +15% 且必定命中。
若本回合已触发过先手，则后续攻击对速度低于自身的目标伤害 +10%。</t>
  </si>
  <si>
    <t>连击流</t>
  </si>
  <si>
    <t>连击第3段后附加破甲，独立伤害+10%</t>
  </si>
  <si>
    <t>暴伤流</t>
  </si>
  <si>
    <t>暴击后目标获得破绽，暴伤独立+15%</t>
  </si>
  <si>
    <t>护盾反伤流</t>
  </si>
  <si>
    <t>护盾破碎后获得怒目，反伤独立+30%</t>
  </si>
  <si>
    <t>闪避流</t>
  </si>
  <si>
    <t>闪避成功后下次反击必中并致盲</t>
  </si>
  <si>
    <t>五行流</t>
  </si>
  <si>
    <t>五行异常触发率+10%，异常目标受五行伤害独立+12%</t>
  </si>
  <si>
    <t>每层所需点数</t>
  </si>
  <si>
    <t>通用</t>
  </si>
  <si>
    <t>学习被动</t>
  </si>
  <si>
    <t>学习小技能</t>
  </si>
  <si>
    <t>学习大技能</t>
  </si>
  <si>
    <t>1 + 1</t>
  </si>
  <si>
    <t>12 + 24</t>
  </si>
  <si>
    <t>暴伤</t>
  </si>
  <si>
    <t>反弹伤害</t>
  </si>
  <si>
    <t>护盾强度</t>
  </si>
  <si>
    <t>弱点洞察</t>
  </si>
  <si>
    <t>战斗开始暴击率+10%</t>
  </si>
  <si>
    <t>凶残</t>
  </si>
  <si>
    <t>暴击伤害+20%</t>
  </si>
  <si>
    <t>6 + 12</t>
  </si>
  <si>
    <t>3 + 3</t>
  </si>
  <si>
    <t>12 + 12</t>
  </si>
  <si>
    <t>10 + 10</t>
  </si>
  <si>
    <t>5 + 5</t>
  </si>
  <si>
    <t>25 + 25</t>
  </si>
  <si>
    <t>4 + 8</t>
  </si>
  <si>
    <t>破绽洞察</t>
  </si>
  <si>
    <t>暴击施加1层破绽(上限3)，每层-5%目标免伤</t>
  </si>
  <si>
    <t>暴击之势</t>
  </si>
  <si>
    <r>
      <rPr>
        <sz val="11"/>
        <color theme="1"/>
        <rFont val="宋体"/>
        <charset val="134"/>
        <scheme val="minor"/>
      </rPr>
      <t>暴击后下次</t>
    </r>
    <r>
      <rPr>
        <sz val="12"/>
        <color rgb="FF222222"/>
        <rFont val="Arial"/>
        <charset val="134"/>
      </rPr>
      <t>普攻</t>
    </r>
    <r>
      <rPr>
        <sz val="12"/>
        <color rgb="FF222222"/>
        <rFont val="Arial"/>
        <charset val="134"/>
      </rPr>
      <t>伤害+30%且必定触发1次连击(连击仅普攻可触发)</t>
    </r>
  </si>
  <si>
    <t>气血回复%</t>
  </si>
  <si>
    <t>普攻免伤</t>
  </si>
  <si>
    <t>技能免伤</t>
  </si>
  <si>
    <t>破盾</t>
  </si>
  <si>
    <t>对护盾目标暴击率+20%，护盾伤害+20%</t>
  </si>
  <si>
    <t>目标气血&lt;30%时暴击伤害+50%</t>
  </si>
  <si>
    <t>1 + 3</t>
  </si>
  <si>
    <t>无情</t>
  </si>
  <si>
    <t>暴击无视10%防御</t>
  </si>
  <si>
    <t>暴击溢出转化提升至每1%转0.8%暴伤</t>
  </si>
  <si>
    <t>命中率%</t>
  </si>
  <si>
    <t>连击伤害</t>
  </si>
  <si>
    <t>攻击破绽目标附加目标10%最大气血真伤(单次上限自身攻击150%，Boss减半)</t>
  </si>
  <si>
    <t>天崩</t>
  </si>
  <si>
    <t>每回合首次攻击必定暴击；溢出伤害(超出目标剩余气血部分)30%溅射其他敌人真伤</t>
  </si>
  <si>
    <t>重击</t>
  </si>
  <si>
    <t>小技能</t>
  </si>
  <si>
    <t>单体</t>
  </si>
  <si>
    <t>130%伤害，本次暴击率+20%</t>
  </si>
  <si>
    <t>破绽斩</t>
  </si>
  <si>
    <t>150%伤害，暴击时额外+1层破绽</t>
  </si>
  <si>
    <t>第五层</t>
  </si>
  <si>
    <t>弱点刺</t>
  </si>
  <si>
    <t>100%伤害，命中必定施加1层破绽(无需暴击)</t>
  </si>
  <si>
    <t>碎盾斩</t>
  </si>
  <si>
    <t>140%伤害，护盾伤害+50%，暴击时击破目标护盾</t>
  </si>
  <si>
    <t>6 + 10</t>
  </si>
  <si>
    <t>8 + 8</t>
  </si>
  <si>
    <t>灭魂一击</t>
  </si>
  <si>
    <t>气血最低</t>
  </si>
  <si>
    <t>160%伤害，暴击率+15%(收割)</t>
  </si>
  <si>
    <t>怒斩</t>
  </si>
  <si>
    <t>120%伤害，消耗目标破绽，每层+20%伤害</t>
  </si>
  <si>
    <t>第六层</t>
  </si>
  <si>
    <t>破阵斩</t>
  </si>
  <si>
    <t>列攻击</t>
  </si>
  <si>
    <t>同列前后排110%伤害，本技能暴击率+15%</t>
  </si>
  <si>
    <t>袭后斩</t>
  </si>
  <si>
    <t>切后</t>
  </si>
  <si>
    <t>无视前排保护130%伤害，目标暴露时暴伤+25%</t>
  </si>
  <si>
    <t>穿甲刺</t>
  </si>
  <si>
    <t>110%伤害，施加1层裂甲(-5%防御)</t>
  </si>
  <si>
    <t>嗜血斩</t>
  </si>
  <si>
    <t>130%伤害，暴击时吸血本次伤害50%</t>
  </si>
  <si>
    <t>第七层</t>
  </si>
  <si>
    <t>护盾系数</t>
  </si>
  <si>
    <t>大技能</t>
  </si>
  <si>
    <t>250%伤害，必定暴击，暴击+2层破绽</t>
  </si>
  <si>
    <t>2 + 2</t>
  </si>
  <si>
    <t>屠戮</t>
  </si>
  <si>
    <t>全体</t>
  </si>
  <si>
    <t>150%伤害，本次暴击率+40%；暴击且目标&lt;30%血直接斩杀(Boss免疫)</t>
  </si>
  <si>
    <t>192 + 384</t>
  </si>
  <si>
    <t>24 + 48</t>
  </si>
  <si>
    <t>10 + 20</t>
  </si>
  <si>
    <t>8 + 16</t>
  </si>
  <si>
    <t>破绽爆</t>
  </si>
  <si>
    <t>200%伤害，消耗全部破绽每层+40%伤害；消耗≥3层时目标眩晕1回合(Boss抗性生效)</t>
  </si>
  <si>
    <t>碎盾军</t>
  </si>
  <si>
    <t>140%伤害，护盾伤害+100%，暴击时击破目标护盾</t>
  </si>
  <si>
    <t>第八层</t>
  </si>
  <si>
    <t>治疗加成</t>
  </si>
  <si>
    <t>处刑闪</t>
  </si>
  <si>
    <t>280%伤害，击杀目标时立即获得1次额外行动(每场1次)</t>
  </si>
  <si>
    <t>弱点灭</t>
  </si>
  <si>
    <t>300%伤害，无视30%防御，目标每1%免伤转1%本次暴伤</t>
  </si>
  <si>
    <t>5 + 10</t>
  </si>
  <si>
    <t>杀意域</t>
  </si>
  <si>
    <t>领域</t>
  </si>
  <si>
    <t>2回合：敌方全体受暴伤+15%，斩杀线提升至40%</t>
  </si>
  <si>
    <t>崩天击</t>
  </si>
  <si>
    <t>320%伤害，溢出伤害50%溅射其他敌人真伤</t>
  </si>
  <si>
    <t>第九层</t>
  </si>
  <si>
    <t>免伤</t>
  </si>
  <si>
    <t>最终伤害</t>
  </si>
  <si>
    <t>双倍掉落</t>
  </si>
  <si>
    <t>普攻系数</t>
  </si>
  <si>
    <t>暴伤抵抗</t>
  </si>
  <si>
    <t>必杀</t>
  </si>
  <si>
    <t>220%伤害，本次暴击伤害+100%</t>
  </si>
  <si>
    <t>灭绝</t>
  </si>
  <si>
    <t>160%伤害，消耗全体目标破绽，每层追加1段60%攻击(上限+3段)</t>
  </si>
  <si>
    <t>16 + 32</t>
  </si>
  <si>
    <t>磐石体</t>
  </si>
  <si>
    <t>开局免伤+10%；回合开始获15%最大气血护盾</t>
  </si>
  <si>
    <t>怒目</t>
  </si>
  <si>
    <t>有盾反伤+20%；盾碎嘲讽1回合且反伤+30%</t>
  </si>
  <si>
    <t>第十层</t>
  </si>
  <si>
    <t>闪避后造成一次50%的真伤攻击</t>
  </si>
  <si>
    <t>单次受伤≤25%最大气血；反伤无视防御</t>
  </si>
  <si>
    <t>有盾时反弹+10%(结算受60%上限约束)</t>
  </si>
  <si>
    <t>8 + 18</t>
  </si>
  <si>
    <t>护盾值+20%</t>
  </si>
  <si>
    <t>山震</t>
  </si>
  <si>
    <t>受击后攻击者速度-10(2回合，上限2层)</t>
  </si>
  <si>
    <t>岩势</t>
  </si>
  <si>
    <t>免伤+10%；气血&lt;50%时护盾获取+50%</t>
  </si>
  <si>
    <t>怒目余威</t>
  </si>
  <si>
    <t>盾碎时攻击者获"岩蚀"(-10%伤害，2回合)</t>
  </si>
  <si>
    <t>不动山</t>
  </si>
  <si>
    <t>反伤30%转化护盾(每回合上限20%最大气血)</t>
  </si>
  <si>
    <t>大地之怒</t>
  </si>
  <si>
    <t>盾碎时对全体敌人100%伤害并施加1层裂甲</t>
  </si>
  <si>
    <t>磐石盾</t>
  </si>
  <si>
    <t>自身</t>
  </si>
  <si>
    <t>获20%最大气血护盾</t>
  </si>
  <si>
    <t>暴伤流 → 克制 → 反击流   (低频高爆发+斩杀，少喂反击，真伤收尾)</t>
  </si>
  <si>
    <t>震地</t>
  </si>
  <si>
    <t>100%伤害，嘲讽1回合</t>
  </si>
  <si>
    <t>反击流 → 克制 → 连击流   (多段高频攻击疯狂喂反击)</t>
  </si>
  <si>
    <t>反震击</t>
  </si>
  <si>
    <t>140%伤害，自身反伤+20%(2回合)</t>
  </si>
  <si>
    <t>连击流 → 克制 → 闪避流   (多段判定+裂甲削防+命中堆叠)</t>
  </si>
  <si>
    <t>守护击</t>
  </si>
  <si>
    <t>120%伤害，最低血队友获10%护盾</t>
  </si>
  <si>
    <t>闪避流 → 克制 → 暴伤流   (高闪避使暴击判定落空，迷踪压命中)</t>
  </si>
  <si>
    <t>岩壁垒</t>
  </si>
  <si>
    <t>免伤+15%(1回合)</t>
  </si>
  <si>
    <t>站位</t>
  </si>
  <si>
    <t>队伍职责</t>
  </si>
  <si>
    <t>AI 优先级</t>
  </si>
  <si>
    <t>碎地震</t>
  </si>
  <si>
    <t>同列110%伤害，目标速度-10(2回合)</t>
  </si>
  <si>
    <t>后排主C</t>
  </si>
  <si>
    <t>持续削甲+高频输出</t>
  </si>
  <si>
    <t>防御最低 → 暴露后排</t>
  </si>
  <si>
    <t>盾击</t>
  </si>
  <si>
    <t>有盾时+30%伤害(130%基础)1</t>
  </si>
  <si>
    <t>爆发+收割</t>
  </si>
  <si>
    <t>气血最低 → 攻击最高</t>
  </si>
  <si>
    <t>踏陷斩</t>
  </si>
  <si>
    <t>130%伤害，目标有裂甲时+20%</t>
  </si>
  <si>
    <t>后排副C/干扰</t>
  </si>
  <si>
    <t>切后+致盲干扰</t>
  </si>
  <si>
    <t>暴露后排 → 速度最低</t>
  </si>
  <si>
    <t>斥盾</t>
  </si>
  <si>
    <t>消耗当前盾50%，对目标造成等量真伤</t>
  </si>
  <si>
    <t>反击流</t>
  </si>
  <si>
    <t>前排承伤副C</t>
  </si>
  <si>
    <t>承伤+反制+嘲讽</t>
  </si>
  <si>
    <t>维持嘲讽 → 保护低血队友</t>
  </si>
  <si>
    <t>大地之骨</t>
  </si>
  <si>
    <t>全体友军获8%最大气血护盾</t>
  </si>
  <si>
    <t>地裂</t>
  </si>
  <si>
    <t>130%伤害，反伤+50%(2回合)，自身获20%护盾</t>
  </si>
  <si>
    <t>怒目地狱</t>
  </si>
  <si>
    <t>嘲讽全体2回合，本回合反伤+40%(封顶60%)；攻击者立即受1次反伤判定</t>
  </si>
  <si>
    <t>山岳压</t>
  </si>
  <si>
    <t>240%伤害，有盾时消耗护盾则伤害翻倍</t>
  </si>
  <si>
    <t>对满血敌人必定暴击</t>
  </si>
  <si>
    <t>大地护盾</t>
  </si>
  <si>
    <t>友军获20%护盾(取最高)，有盾期间免伤+10%(2回合)</t>
  </si>
  <si>
    <t>对满血敌人伤害系数+50%</t>
  </si>
  <si>
    <t>反震风暴</t>
  </si>
  <si>
    <t>120%伤害，本回合受击反伤按1.5倍结算</t>
  </si>
  <si>
    <t>净化debuff，免伤+25%(2回合)</t>
  </si>
  <si>
    <t>2回合：友军免伤+15%，攻击者受击挂岩蚀</t>
  </si>
  <si>
    <t>巨石阵</t>
  </si>
  <si>
    <t>220%伤害，目标无护盾时眩晕1回合</t>
  </si>
  <si>
    <t>山体</t>
  </si>
  <si>
    <t>2回合：免伤+30%、反伤+30%，免疫1次控制</t>
  </si>
  <si>
    <t>灭世震</t>
  </si>
  <si>
    <t>160%伤害，全体敌人速度-20(2回合)</t>
  </si>
  <si>
    <t>残影诀</t>
  </si>
  <si>
    <t>闪避成功时获得1层残影（上限5层），每层残影闪避率+2%</t>
  </si>
  <si>
    <t>影袭本能</t>
  </si>
  <si>
    <t>闪避成功后立即反击，反击伤害+15%（反击不占回合，上限80%反击率内）</t>
  </si>
  <si>
    <t>迷踪步</t>
  </si>
  <si>
    <t>战斗开始时速度+10%、闪避值+10%</t>
  </si>
  <si>
    <t>蚀目</t>
  </si>
  <si>
    <t>反击命中时30%概率致盲目标1回合（致盲：命中率-30%）</t>
  </si>
  <si>
    <t>影分身</t>
  </si>
  <si>
    <t>每回合首次受击若闪避，生成1个分身吸收1次攻击（每回合上限1个）</t>
  </si>
  <si>
    <t>无形</t>
  </si>
  <si>
    <t>位于后排时闪避率+8%（契合后排站位定位）</t>
  </si>
  <si>
    <t>影遁</t>
  </si>
  <si>
    <t>气血低于40%时闪避率+10%、速度+15%（残血爆发保命）</t>
  </si>
  <si>
    <t>破绽窥伺</t>
  </si>
  <si>
    <t>对致盲目标攻击必定命中且暴击率+15%</t>
  </si>
  <si>
    <t>连影</t>
  </si>
  <si>
    <t>反击后有30%概率追加1次普攻（每回合上限1次，不可连击）</t>
  </si>
  <si>
    <t>幻影大师</t>
  </si>
  <si>
    <t>残影满层时，闪避后下次行动必定触发强化影袭（130%倍率反击）</t>
  </si>
  <si>
    <t>影袭</t>
  </si>
  <si>
    <t>130%倍率普攻，每层残影为本回合提供+5%闪避率</t>
  </si>
  <si>
    <t>闪避率+15%（2回合），速度+10</t>
  </si>
  <si>
    <t>蚀目镖</t>
  </si>
  <si>
    <t>100%伤害，80%概率致盲1回合</t>
  </si>
  <si>
    <t>生成1个分身吸收2次攻击（2回合）</t>
  </si>
  <si>
    <t>残影斩</t>
  </si>
  <si>
    <t>120%伤害，每层残影+8%伤害，命中后消耗1层残影</t>
  </si>
  <si>
    <t>瞬影刺</t>
  </si>
  <si>
    <t>无视前排保护120%伤害，目标暴露时必定暴击</t>
  </si>
  <si>
    <t>影双击</t>
  </si>
  <si>
    <t>连续2段90%伤害，第2段必定命中</t>
  </si>
  <si>
    <t>烟幕</t>
  </si>
  <si>
    <t>敌全体</t>
  </si>
  <si>
    <t>敌方全体命中率-15%（2回合）</t>
  </si>
  <si>
    <t>影缚</t>
  </si>
  <si>
    <t>110%伤害，目标速度-15（2回合），自身速度+10</t>
  </si>
  <si>
    <t>灭影击</t>
  </si>
  <si>
    <t>140%伤害，目标致盲时必定暴击（收割）</t>
  </si>
  <si>
    <t>万影归一</t>
  </si>
  <si>
    <t>280%伤害，消耗全部残影，每层追加1段60%伤害</t>
  </si>
  <si>
    <t>幻影风暴</t>
  </si>
  <si>
    <t>140%伤害，本回合自身闪避率+20%（软上限70%内）</t>
  </si>
  <si>
    <t>影遁无踪</t>
  </si>
  <si>
    <t>2回合：全体友军闪避率+12%；受致命伤害保留1点气血（每场1次）</t>
  </si>
  <si>
    <t>无相</t>
  </si>
  <si>
    <t>2回合内前2次受击必定闪避（每场1次，防无限闪避）</t>
  </si>
  <si>
    <t>影杀阵</t>
  </si>
  <si>
    <t>300%伤害，若本回合已闪避过则必定暴击且暴伤+50%</t>
  </si>
  <si>
    <t>千影乱舞</t>
  </si>
  <si>
    <t>连续4段80%伤害（每段独立判定），对致盲目标每段+30%</t>
  </si>
  <si>
    <t>幻化</t>
  </si>
  <si>
    <t>残影直接叠满，2回合内闪避反击必定致盲</t>
  </si>
  <si>
    <t>灭世影袭</t>
  </si>
  <si>
    <t>320%伤害，击杀后闪避率+25%（2回合）并获得1次额外行动（每场1次）</t>
  </si>
  <si>
    <t>幻影分身阵</t>
  </si>
  <si>
    <t>友全体</t>
  </si>
  <si>
    <t>全体友军各获1个分身（吸收1次攻击，不可叠加）</t>
  </si>
  <si>
    <t>终焉之影</t>
  </si>
  <si>
    <t>340%伤害，无视目标50%免伤；目标致盲时伤害+80%（Boss减为+40%）</t>
  </si>
  <si>
    <t>攻击时敌人每层风势使自身连击率+5%</t>
  </si>
  <si>
    <t>每层裂甲使敌人破甲4%</t>
  </si>
  <si>
    <t>每层风意提升3%连击率和3%连击伤害</t>
  </si>
  <si>
    <t>连击气势</t>
  </si>
  <si>
    <t>普攻命中为敌人叠加1层【风势】（最高8层），超过的风势50%为自己增加一层【风意】。</t>
  </si>
  <si>
    <t>1 + 2</t>
  </si>
  <si>
    <t>普攻命中为敌人叠加1层【裂甲】（最高8层）。</t>
  </si>
  <si>
    <t>3 + 1</t>
  </si>
  <si>
    <t>风势≥4层时，连击命中时额外追加1层【裂甲】，连击伤害系数+10%。</t>
  </si>
  <si>
    <t>风势满溢</t>
  </si>
  <si>
    <t>3 + 2</t>
  </si>
  <si>
    <t>敌人身上每层【风势】，让玩家回合开始速度系数+5%。</t>
  </si>
  <si>
    <t>裂甲透骨</t>
  </si>
  <si>
    <t>目标每有1层【裂甲】，自身对其造成的普攻伤害系数+5%。</t>
  </si>
  <si>
    <t>6 + 1</t>
  </si>
  <si>
    <t>每次触发连击给对方叠加1层【易损】【蹒跚】，回合结束清空。</t>
  </si>
  <si>
    <t>6 + 2</t>
  </si>
  <si>
    <t>触发连击时对随机另一名敌人造成50%溅射伤害。</t>
  </si>
  <si>
    <t>风痕</t>
  </si>
  <si>
    <t>8 + 1</t>
  </si>
  <si>
    <t>敌人【风势】满层后，继续叠加的【风势】转化为【风痕】，每层【风痕】使目标受到的物理伤害+5%（最高10层）。</t>
  </si>
  <si>
    <t>裂甲爆裂</t>
  </si>
  <si>
    <t>8 + 3</t>
  </si>
  <si>
    <t>当目标【裂甲】达到5层时，下次普攻额外追加2段连击，并消耗所有裂甲，每消耗1层使连击伤害系数+10%。</t>
  </si>
  <si>
    <t>风势涌</t>
  </si>
  <si>
    <t>每次连击使下次普攻加成+15%，命中加成+10%</t>
  </si>
  <si>
    <t>单次普攻连击达4段时，第5段+50%伤害且无视20%防御</t>
  </si>
  <si>
    <t>迅风击</t>
  </si>
  <si>
    <t>给对方叠加1层【风势】，以130%倍率进行一次普攻。</t>
  </si>
  <si>
    <t>裂甲击</t>
  </si>
  <si>
    <t>给对方叠加1层【裂甲】，以140%倍率进行一次普攻。</t>
  </si>
  <si>
    <t>随机普攻两个敌人，此次攻击将50%连击几率转为普攻加成。</t>
  </si>
  <si>
    <t>随机普攻一个敌人，此次攻击将100%连击几率转为普攻加成。</t>
  </si>
  <si>
    <t>连击后叠战意(上限3)，每层+10%普攻伤害</t>
  </si>
  <si>
    <t>120%伤害，消耗全部风势：每层+10%伤害并施加1层裂甲</t>
  </si>
  <si>
    <t>微风</t>
  </si>
  <si>
    <t>对敌方两个敌人添加2层风痕，下回合连击率+50%</t>
  </si>
  <si>
    <t>260%伤害，消耗目标裂甲每层+40%</t>
  </si>
  <si>
    <t>普攻连击触发后连击伤害+30%且不衰减</t>
  </si>
  <si>
    <t>连击有50%概率无视护盾</t>
  </si>
  <si>
    <t>追风</t>
  </si>
  <si>
    <t>斗战真身：风势≥1 层时伤害独立+10%；连击命中追加 1 层裂甲（裂甲上限不变）</t>
  </si>
  <si>
    <t>无影</t>
  </si>
  <si>
    <t>疾风无情：疾风状态+1 回合，列攻击额外+1 目标</t>
  </si>
  <si>
    <t>破军天诛：斩杀线+5%（Boss 减半），斩杀线内暴伤独立+15%</t>
  </si>
  <si>
    <t>势破天惊：破盾后下次暴击独立+15%，对盾暴击率+10%</t>
  </si>
  <si>
    <t>风势滔天</t>
  </si>
  <si>
    <t>明王镇岳：护盾破碎获明王 2 回合（免伤独立+15%、反伤+30%），CD3 回合</t>
  </si>
  <si>
    <t>大地回鸣：反伤值的 50% 转化为气血（受治疗削减影响）</t>
  </si>
  <si>
    <t>无影连斩</t>
  </si>
  <si>
    <t>幻影无形：闪避成功后 100% 反击（仍受反击率 80%、每回合 2~3 次上限）</t>
  </si>
  <si>
    <t>风狂</t>
  </si>
  <si>
    <t>无形杀：闪避后下次攻击暴击率+30% 并无视 20% 防御</t>
  </si>
  <si>
    <t>大招</t>
  </si>
  <si>
    <t>进入风灵状态2回合：普攻倍率+50%、连击率+50%；发动时对随机敌人进行1次普攻</t>
  </si>
  <si>
    <t>风之杀机</t>
  </si>
  <si>
    <t>获得5层【风意】，对要攻击的敌人附加5层【风痕】、3层【裂甲】；普攻加成+100%，回合结束清空；进行一次普攻。</t>
  </si>
  <si>
    <t>风啸</t>
  </si>
  <si>
    <t>对敌方前排全体施加5层【裂甲】，进行一次普攻。若击杀前排目标，则对同列后排进行一次普攻。</t>
  </si>
  <si>
    <t>风神怒</t>
  </si>
  <si>
    <t>普攻加成+100%，回合结束清空，消耗敌人所有的【风势】【风痕】，每层+15%连击率，+5%普攻系数，+5%伤害系数，进行一次普攻。</t>
  </si>
  <si>
    <t>飓风袭击</t>
  </si>
  <si>
    <t>对全体敌人造成200%伤害，敌人身上每有一层【风势】【风痕】【裂甲】，普攻伤害+5%。若总消耗层数≥10，使全体敌人眩晕1回合。</t>
  </si>
  <si>
    <t>宠物属性</t>
  </si>
  <si>
    <t>坐骑属性</t>
  </si>
  <si>
    <t>成长</t>
  </si>
  <si>
    <t>推荐属性</t>
  </si>
  <si>
    <t>1、2、3、4、5</t>
  </si>
  <si>
    <t>初生期</t>
  </si>
  <si>
    <t>火鸦</t>
  </si>
  <si>
    <t>火属性攻击%、灼烧触发率、攻击灼烧目标独立+8%</t>
  </si>
  <si>
    <t>宠物属性类别</t>
  </si>
  <si>
    <t>幼年期</t>
  </si>
  <si>
    <t>水蛟</t>
  </si>
  <si>
    <t>水属性攻击%、迟缓触发率、对低速目标独立+8%</t>
  </si>
  <si>
    <t>主要属性</t>
  </si>
  <si>
    <t>成长期</t>
  </si>
  <si>
    <t>金猊</t>
  </si>
  <si>
    <t>金属性攻击%、破甲触发率、对高防目标独立+10%</t>
  </si>
  <si>
    <t>成熟期</t>
  </si>
  <si>
    <t>木灵</t>
  </si>
  <si>
    <t>木属性攻击%、禁疗触发率、对回复目标独立+8%</t>
  </si>
  <si>
    <t>完全体</t>
  </si>
  <si>
    <t>土熊</t>
  </si>
  <si>
    <t>土属性攻击%、护盾存在时免伤独立+6%</t>
  </si>
  <si>
    <t>特性</t>
  </si>
  <si>
    <t>3、4、5品质才有</t>
  </si>
  <si>
    <t>4、5品质才有、等级成长</t>
  </si>
  <si>
    <t>2、3、4、5品质才有</t>
  </si>
  <si>
    <t>种类</t>
  </si>
  <si>
    <t>亚种</t>
  </si>
  <si>
    <t>变异</t>
  </si>
  <si>
    <t>突破</t>
  </si>
  <si>
    <t>10%+20%+30%</t>
  </si>
  <si>
    <t>资质</t>
  </si>
  <si>
    <t>坐骑名称</t>
  </si>
  <si>
    <t>出现场景</t>
  </si>
  <si>
    <t>分类</t>
  </si>
  <si>
    <t>斗战流</t>
  </si>
  <si>
    <t>斩魂</t>
  </si>
  <si>
    <t>造成的伤害会额外扣除目标1%最大气血（对Boss减半）</t>
  </si>
  <si>
    <t>踏云灵驹</t>
  </si>
  <si>
    <t>风之怒</t>
  </si>
  <si>
    <t>每次连击未暴击时，自身获得 1 层【风怒】（上限 5 层），每层使暴击率 +3%。风怒满 5 层时，下一次连击必定暴击，且暴击伤害 +30%，触发后风怒清零。暴击后的下一段连击伤害 +10%。</t>
  </si>
  <si>
    <t>幻影妖狼</t>
  </si>
  <si>
    <t>裂风之刃</t>
  </si>
  <si>
    <t>每段连击命中时，有 15% 概率追加一段 40% 攻击的风刃伤害（每回合上限 3 段）。风刃命中速度低于自身的目标时，伤害翻倍。风刃暴击时，目标速度 -5%（1 回合，可叠 2 层）。</t>
  </si>
  <si>
    <t>追星鹿</t>
  </si>
  <si>
    <t>必中之意</t>
  </si>
  <si>
    <t>连续命中同一目标3次后，第4次必定暴击且暴伤+30%</t>
  </si>
  <si>
    <t>御风青隼</t>
  </si>
  <si>
    <t>连势追击</t>
  </si>
  <si>
    <t>连击段数≥3时，最后一段伤害翻倍</t>
  </si>
  <si>
    <t>惊雷猎豹</t>
  </si>
  <si>
    <t>战意高涨</t>
  </si>
  <si>
    <t>对速度低于自身目标伤害+20%，且命中后目标无法闪避（1回合）</t>
  </si>
  <si>
    <t>狂血巨狼</t>
  </si>
  <si>
    <t>气血高于 70% 时，暴击伤害+15%</t>
  </si>
  <si>
    <t>影杀标记</t>
  </si>
  <si>
    <t>每回合攻击后伤害系数+3%，最多叠10层</t>
  </si>
  <si>
    <t>烈焰狮</t>
  </si>
  <si>
    <t>每损失 10% 气血，暴击率+1.5%</t>
  </si>
  <si>
    <t>蚀甲深化</t>
  </si>
  <si>
    <t>攻击命中后，目标防御-2%（叠5层，持续2回合）</t>
  </si>
  <si>
    <t>赤焰凶虎</t>
  </si>
  <si>
    <t>暴击时附加目标已损失气血 4% 的真实伤害（最多不超过攻击力 50%）</t>
  </si>
  <si>
    <t>风怒连斩</t>
  </si>
  <si>
    <t>连击达4段时，追加1次无视防御的50%真伤攻击</t>
  </si>
  <si>
    <t>焚天火鹏</t>
  </si>
  <si>
    <t>击杀单位后，回复自身最大气血 8% 并获得 1 回合暴伤+10%</t>
  </si>
  <si>
    <t>凝锋</t>
  </si>
  <si>
    <t>每次普攻命中，为自己增加标记:锋煞，每层标记伤害加成+1%</t>
  </si>
  <si>
    <t>玄冥螭龙</t>
  </si>
  <si>
    <t>暴击时对目标施加灼烧（每回合 15% 攻击伤害，持续 2 回合，不可叠加）</t>
  </si>
  <si>
    <t>灵息</t>
  </si>
  <si>
    <t>受击后能量+2，闪避后能量+3（每回合上限+5）</t>
  </si>
  <si>
    <t>玄甲鳄龟</t>
  </si>
  <si>
    <t>获得护盾时，护盾值额外+15%</t>
  </si>
  <si>
    <t>连击余韵</t>
  </si>
  <si>
    <t>战斗开始时，消耗一层风势来获得10%最大气血护盾</t>
  </si>
  <si>
    <t>磐石灰牛</t>
  </si>
  <si>
    <t>受到攻击时，有 25% 概率获得防御×200% 的护盾，持续1回合</t>
  </si>
  <si>
    <t>风之能</t>
  </si>
  <si>
    <t>每触发 1 段连击，有 30% 概率获得 1 层【风能】（上限 4 层），每层使能量获取效率 +5%。风能满 4 层时，消耗全部风能：立即回复 10 点能量，并使下一个技能伤害 +15%。</t>
  </si>
  <si>
    <t>铁壁白象</t>
  </si>
  <si>
    <t>护盾存在期间，受到的所有伤害额外降低 8%</t>
  </si>
  <si>
    <t>疾影步</t>
  </si>
  <si>
    <t>速度高于攻击者时，闪避率+10%</t>
  </si>
  <si>
    <t>撼地玄犀</t>
  </si>
  <si>
    <t>受到近战攻击时，对攻击者造成防御值 30% 的固定反伤</t>
  </si>
  <si>
    <t>先手之盾</t>
  </si>
  <si>
    <t>本回合最先行动时，获得5%最大气血护盾</t>
  </si>
  <si>
    <t>万花玄蛟</t>
  </si>
  <si>
    <t>每回合开始时，若自身没有护盾，则获得最大气血 10% 的护盾</t>
  </si>
  <si>
    <t>疾风之蹄</t>
  </si>
  <si>
    <t>速度高于攻击者时，闪避率+8%</t>
  </si>
  <si>
    <t>穿云雨燕</t>
  </si>
  <si>
    <t>成功闪避后，下一次攻击必定命中，且伤害+10%</t>
  </si>
  <si>
    <t>风之识破</t>
  </si>
  <si>
    <t>清风白鹤</t>
  </si>
  <si>
    <t>成功闪避后，速度+5，持续1回合（可叠加2层）</t>
  </si>
  <si>
    <t>风之破绽</t>
  </si>
  <si>
    <t>命中同一目标3次后，第4次必定暴击且暴伤+25%</t>
  </si>
  <si>
    <t>成功闪避时，对攻击者造成 30% 攻击力的闪电伤害（每回合最多 2 次）</t>
  </si>
  <si>
    <t>风之守护</t>
  </si>
  <si>
    <t>每触发 1 段连击，获得 1 层【风护】（上限 5 层），每层使自身受到的下一次伤害 -4%。风护满 5 层时，消耗全部风护获得最大气血 8% 的护盾。</t>
  </si>
  <si>
    <t>逐月玉兔</t>
  </si>
  <si>
    <t>闪避率低于 30% 时，额外获得 10% 闪避率</t>
  </si>
  <si>
    <t>连击回能</t>
  </si>
  <si>
    <t>每次连击判定成功能量+3；连击段数≥4时额外+5</t>
  </si>
  <si>
    <t>追日大鹏</t>
  </si>
  <si>
    <t>每回合第一次成功闪避后，回复自身最大气血 3%</t>
  </si>
  <si>
    <t>幻影流</t>
  </si>
  <si>
    <t>疾风护体</t>
  </si>
  <si>
    <t>连续闪避2次后，获得15%最大气血护盾（每回合1次）</t>
  </si>
  <si>
    <t>疾风马</t>
  </si>
  <si>
    <t>战斗开始时，速度+8，持续 2 回合</t>
  </si>
  <si>
    <t>无影无踪</t>
  </si>
  <si>
    <t>闪避成功后，目标下回合无法获得速度加成</t>
  </si>
  <si>
    <t>镇海蛟</t>
  </si>
  <si>
    <t>回合结束时，若气血低于 50%，回复最大气血 6%</t>
  </si>
  <si>
    <t>闪避成功后，下次攻击必定暴击且暴伤+20%</t>
  </si>
  <si>
    <t>破军马</t>
  </si>
  <si>
    <t>对气血高于 50% 的目标伤害+8%</t>
  </si>
  <si>
    <t>幻影无形</t>
  </si>
  <si>
    <t>闪避成功后，立即反击（80%攻击，可暴击不可连击）</t>
  </si>
  <si>
    <t>战地猛虎</t>
  </si>
  <si>
    <t>受到技能伤害时，有 15% 概率使该次伤害降低 20%</t>
  </si>
  <si>
    <t>速度高于目标时，闪避率+5%</t>
  </si>
  <si>
    <t>苍雷青龙</t>
  </si>
  <si>
    <t>每 4 回合开始，自身获得 1 层“龙威”，使下一次攻击伤害+20%</t>
  </si>
  <si>
    <t>先手之利</t>
  </si>
  <si>
    <t>首回合伤害+50%，第2回合+25%，第3回合起正常</t>
  </si>
  <si>
    <t>宠物名称</t>
  </si>
  <si>
    <t>受控制后，下回合控制豁免+30%</t>
  </si>
  <si>
    <t>紫电骅</t>
  </si>
  <si>
    <t>赤羽凤</t>
  </si>
  <si>
    <t>坚韧</t>
  </si>
  <si>
    <t>每回合首次受击伤害-20%</t>
  </si>
  <si>
    <t>金铃鹿</t>
  </si>
  <si>
    <t>回合结束时回复3%最大气血；未受击时回复6%</t>
  </si>
  <si>
    <t>风鸣鸟</t>
  </si>
  <si>
    <t>能量涌动</t>
  </si>
  <si>
    <t>闪避成功后，能量+15</t>
  </si>
  <si>
    <t>竹里猱</t>
  </si>
  <si>
    <t>迷踪</t>
  </si>
  <si>
    <t>闪避成功后，攻击者命中-8%（1回合）</t>
  </si>
  <si>
    <t>金风白鹤</t>
  </si>
  <si>
    <t>暴击时，暴击伤害额外 +20%</t>
  </si>
  <si>
    <t>闪避成功后，控制豁免+20%（1回合）</t>
  </si>
  <si>
    <t>焚天猊</t>
  </si>
  <si>
    <t>每次暴击后，自身暴击率 +5%，持续 2 回合（可叠 2 层）</t>
  </si>
  <si>
    <t>闪避成功后，效果抵抗+20%（1回合）</t>
  </si>
  <si>
    <t>碧落瑶鸾</t>
  </si>
  <si>
    <t>对气血低于 50% 的目标，暴击率 +10%</t>
  </si>
  <si>
    <t>幻影之躯</t>
  </si>
  <si>
    <t>闪避成功后，下回合闪避率+10%</t>
  </si>
  <si>
    <t>月照犀</t>
  </si>
  <si>
    <t>暴击伤害的 5% 转化为自身气血回复</t>
  </si>
  <si>
    <t>连续闪避2次后，回复5%最大气血</t>
  </si>
  <si>
    <t>洪荒火蚁</t>
  </si>
  <si>
    <t>首次暴击后，获得 1 层“狂怒”，使下一次暴击伤害额外 +15%</t>
  </si>
  <si>
    <t>虚化</t>
  </si>
  <si>
    <t>闪避后，下一次受到的伤害-25%</t>
  </si>
  <si>
    <t>玄霜月鹿</t>
  </si>
  <si>
    <t>受到攻击时，有 20% 概率获得最大气血 5% 的护盾，持续 1 回合</t>
  </si>
  <si>
    <t>气血&lt;40%时，闪避率+15%</t>
  </si>
  <si>
    <t>寒潭玉鲤</t>
  </si>
  <si>
    <t>获得护盾时，护盾值额外 +20%</t>
  </si>
  <si>
    <t>连续闪避2次后，获得12%最大气血护盾（每回合1次）</t>
  </si>
  <si>
    <t>日游神</t>
  </si>
  <si>
    <t>护盾存在期间，受到伤害的 15% 反弹给攻击者</t>
  </si>
  <si>
    <t>轻身避害</t>
  </si>
  <si>
    <t>闪避成功后，下回合速度+10%</t>
  </si>
  <si>
    <t>墨雨鲛</t>
  </si>
  <si>
    <t>每回合开始时，若自身没有护盾，则获得最大气血 6% 的护盾</t>
  </si>
  <si>
    <t>破军流</t>
  </si>
  <si>
    <t>破幻真瞳</t>
  </si>
  <si>
    <t>暴击时将无视目标25%闪避率</t>
  </si>
  <si>
    <t>荷露蛇</t>
  </si>
  <si>
    <t>受到近战攻击时，对攻击者造成攻击力 20% 的固定反伤</t>
  </si>
  <si>
    <t>影缚锁链</t>
  </si>
  <si>
    <t>命中后30%概率使目标下回合最后行动</t>
  </si>
  <si>
    <t>天岚隼</t>
  </si>
  <si>
    <t>成功闪避后，下一次攻击必定命中，且伤害 +10%</t>
  </si>
  <si>
    <t>致盲追猎</t>
  </si>
  <si>
    <t>攻击致盲/减速目标时，伤害独立+15%</t>
  </si>
  <si>
    <t>桃夭鲤</t>
  </si>
  <si>
    <t>成功闪避后，自身速度 +5，持续 1 回合（可叠 2 层）</t>
  </si>
  <si>
    <t>嗜血狂暴</t>
  </si>
  <si>
    <t>暴击击杀目标后，回复15%最大气血</t>
  </si>
  <si>
    <t>瀛洲蟾</t>
  </si>
  <si>
    <t>闪避时，对攻击者造成攻击力 30% 的伤害（每回合最多 1 次）</t>
  </si>
  <si>
    <t>暴怒连锁</t>
  </si>
  <si>
    <t>连续暴击2次后，第3次攻击暴伤+50%且必定命中</t>
  </si>
  <si>
    <t>广寒兔</t>
  </si>
  <si>
    <t>闪避率低于 20% 时，额外获得 8% 闪避率</t>
  </si>
  <si>
    <t>破绽撕裂</t>
  </si>
  <si>
    <t>攻击有破绽的目标时，暴击伤害+8%/层</t>
  </si>
  <si>
    <t>露冷蟾</t>
  </si>
  <si>
    <t>成功闪避后，回复自身最大气血 3%</t>
  </si>
  <si>
    <t>嗜血本能</t>
  </si>
  <si>
    <t>造成伤害的10%转化为气血回复（对Boss减半）</t>
  </si>
  <si>
    <t>苍梧青雀</t>
  </si>
  <si>
    <t>战斗开始时，攻击 +5%，持续 3 回合</t>
  </si>
  <si>
    <t>击杀目标后能量+10；未击杀时能量+3</t>
  </si>
  <si>
    <t>赤霄猊</t>
  </si>
  <si>
    <t>对气血高于 70% 的目标，伤害 +8%</t>
  </si>
  <si>
    <t>溅射余波</t>
  </si>
  <si>
    <t>攻击命中时，20%概率对相邻目标造成40%溅射伤害</t>
  </si>
  <si>
    <t>太古冰蝉</t>
  </si>
  <si>
    <t>回合开始时，若命中率低于 90%，则命中率 +10%，持续 1 回合</t>
  </si>
  <si>
    <t>乘胜追击</t>
  </si>
  <si>
    <t>击杀目标后，立即追加1次50%攻击（不占回合）</t>
  </si>
  <si>
    <t>青冥鹤</t>
  </si>
  <si>
    <t>受到技能伤害时，有 15% 概率降低该伤害 20%</t>
  </si>
  <si>
    <t>不动如山</t>
  </si>
  <si>
    <t>护盾存在时，受到伤害-20%且反伤翻倍</t>
  </si>
  <si>
    <t>松间麋</t>
  </si>
  <si>
    <t>每4回合，自身速度 +10，持续 1 回合</t>
  </si>
  <si>
    <t>荆棘爆发</t>
  </si>
  <si>
    <t>护盾破碎时，对全体敌人造成100%防御值的真伤</t>
  </si>
  <si>
    <t>大地回春</t>
  </si>
  <si>
    <t>护盾破碎后，获得【怒目】2回合：反伤+40%、嘲讽</t>
  </si>
  <si>
    <t>磐石回响</t>
  </si>
  <si>
    <t>受击后，攻击者速度-10%（2回合，叠2层）</t>
  </si>
  <si>
    <t>连击成功后，下一段连击伤害+15%</t>
  </si>
  <si>
    <t>破界 攻击时无视目标15%防御</t>
  </si>
  <si>
    <t>山岳之怒</t>
  </si>
  <si>
    <t>护盾存在时，队友受到伤害-10%（自身承受该伤害的50%）</t>
  </si>
  <si>
    <t>暴击后，目标获得1层【破绽】（每层免伤-3%，上限3层）</t>
  </si>
  <si>
    <t>连心 每次连击后，下一次连击率+8%（可叠加，重置时清零）</t>
  </si>
  <si>
    <t>磐石之躯</t>
  </si>
  <si>
    <t>护盾存在时，免伤独立+8%</t>
  </si>
  <si>
    <t>气血&lt;50%时，每回合回复5%最大气血</t>
  </si>
  <si>
    <t>荆棘之甲</t>
  </si>
  <si>
    <t>受击时，反弹受到伤害的15%为真伤</t>
  </si>
  <si>
    <t>疾攻  速度每高于目标10%，伤害+2%</t>
  </si>
  <si>
    <t>厚土护盾</t>
  </si>
  <si>
    <t>回合开始时，获得8%最大气血护盾（不叠加取最高）</t>
  </si>
  <si>
    <t>霸体</t>
  </si>
  <si>
    <t>气血&lt;30%时，免伤+15%</t>
  </si>
  <si>
    <t>棘甲  受到近战攻击时，反弹50%防御值的真实伤害 反伤变成真伤</t>
  </si>
  <si>
    <t>血誓</t>
  </si>
  <si>
    <t>气血每降低10%，免伤+1%（上限+10%）  越残越硬</t>
  </si>
  <si>
    <t>虚化  闪避后，下一次受到的伤害-30%  闪避流生存质变</t>
  </si>
  <si>
    <t>不动流</t>
  </si>
  <si>
    <t>铁壁之躯</t>
  </si>
  <si>
    <t>受到暴击时，暴伤减免+20%（仅本次）</t>
  </si>
  <si>
    <t>气血&lt;40%时，闪避率+15%时</t>
  </si>
  <si>
    <t>龟息  回合结束时若未受伤害，回复8%最大气血  防守节奏回复</t>
  </si>
  <si>
    <t>铁壁连心</t>
  </si>
  <si>
    <t>护盾存在时，暴击抵抗+20%且暴伤减免+15%</t>
  </si>
  <si>
    <t>速度高于目标时，普攻追加1段40%伤害</t>
  </si>
  <si>
    <t>霸体  每回合免疫第一次控制效果  控制克星</t>
  </si>
  <si>
    <t>回合结束时若未受伤害，回复6%最大气血</t>
  </si>
  <si>
    <t>命中后30%概率致盲目标1回合（命中-30%）</t>
  </si>
  <si>
    <t>风盾</t>
  </si>
  <si>
    <t>护盾存在时，速度+15%</t>
  </si>
  <si>
    <t>闪避成功后，下回合速度+12%</t>
  </si>
  <si>
    <t>灵护  护盾存在时，队友受到的伤害-5%（自身承受该伤害） 辅助承伤</t>
  </si>
  <si>
    <t>大地之息</t>
  </si>
  <si>
    <t>受击后能量+2（每回合上限+6）</t>
  </si>
  <si>
    <t>逆反  受击时若伤害超过自身最大气血15%，返还超出部分的30%  对高爆发反制</t>
  </si>
  <si>
    <t>坚韧体魄</t>
  </si>
  <si>
    <t>岩壁</t>
  </si>
  <si>
    <t>受到普攻时，反伤+20%</t>
  </si>
  <si>
    <t>腾挪  速度高于攻击者时，闪避率+8% 速度闪避联动</t>
  </si>
  <si>
    <t>风势感知</t>
  </si>
  <si>
    <t>连击触发时，为目标叠加1层【风势】（上限8层）</t>
  </si>
  <si>
    <t>追击  暴击后  立即追加一次50%普攻伤害 暴击=多次攻击</t>
  </si>
  <si>
    <t>连击第3段及以后，每次命中追加1层破甲（上限3层，2回合）</t>
  </si>
  <si>
    <t>嗜杀  击杀目标后  回复20%最大气血，攻击+10%持续2回合  滚雪球</t>
  </si>
  <si>
    <t>生生不息</t>
  </si>
  <si>
    <t>护盾破碎后，回复10%最大气血，溢出的气血转为护盾</t>
  </si>
  <si>
    <t>连爆  连续3次暴击后 下一次攻击必定暴击，且暴击伤害+30%  暴击循环</t>
  </si>
  <si>
    <t>反伤强化</t>
  </si>
  <si>
    <t>护盾存在时，反伤+25%</t>
  </si>
  <si>
    <t>疾风之息</t>
  </si>
  <si>
    <t>速度每高于目标10%，连击伤害衰减减少5%</t>
  </si>
  <si>
    <t>风怒  速度高于目标时攻击  20%概率额外行动一次 速度=额外回合</t>
  </si>
  <si>
    <t>弱点打击</t>
  </si>
  <si>
    <t>对气血&lt;50%目标，伤害独立+8%</t>
  </si>
  <si>
    <t>普攻蓄势</t>
  </si>
  <si>
    <t>普攻命中后，下次普攻倍率+20%（1回合）</t>
  </si>
  <si>
    <t>绝杀  目标气血&lt;20%时  伤害+40%  斩杀线质变</t>
  </si>
  <si>
    <t>风痕侵蚀</t>
  </si>
  <si>
    <t>连击触发时，20%概率使目标速度-5%（1回合）</t>
  </si>
  <si>
    <t>借势  队友被击败后  自身攻击+15%永久（本场战斗）  逆境翻盘</t>
  </si>
  <si>
    <t>蚀甲  攻击命中后  目标防御-3%（可叠加5层，持续2回合） 连击流削甲</t>
  </si>
  <si>
    <t>回合开始时获得5%最大气血护盾（不叠加）</t>
  </si>
  <si>
    <t>削甲连击</t>
  </si>
  <si>
    <t>连击命中同一目标3次后，目标防御-8%（2回合）</t>
  </si>
  <si>
    <t>血沸  自身气血&lt;30%时  攻击+20%，吸血率+10%  残血爆发</t>
  </si>
  <si>
    <t>裂甲爆破</t>
  </si>
  <si>
    <t>目标破甲≥3层时，下次普攻消耗全部破甲，每层+15%伤害并溅射相邻</t>
  </si>
  <si>
    <t>目标风势满层后，继续叠加转为【风痕】，每层风痕使目标受伤+5%（上限10层）</t>
  </si>
  <si>
    <t>疾风骤雨</t>
  </si>
  <si>
    <t>连击触发后，本次行动不结束，立即追加1次普攻（每回合1次）</t>
  </si>
  <si>
    <t>连击共鸣</t>
  </si>
  <si>
    <t>本回合连击总段数≥6时，下回合普攻必定连击且连击伤害不衰减</t>
  </si>
  <si>
    <t>凶残本能</t>
  </si>
  <si>
    <t>暴击后，目标获得1层【破绽】（上限3），每层免伤-3%</t>
  </si>
  <si>
    <t>回合开始时，获得8%最大气血护盾</t>
  </si>
  <si>
    <t>破军不屈</t>
  </si>
  <si>
    <t>气血每降低10%，免伤+2%（上限+10%）</t>
  </si>
  <si>
    <t>目标气血每低于50%，暴击率+2%（最高+10%）</t>
  </si>
  <si>
    <t>暴怒护体</t>
  </si>
  <si>
    <t>受到暴击后，反弹20%暴击伤害给攻击者</t>
  </si>
  <si>
    <t>破盾之锋</t>
  </si>
  <si>
    <t>暴击击破护盾时，对目标追加30%攻击真伤</t>
  </si>
  <si>
    <t>连势护体</t>
  </si>
  <si>
    <t>受到普攻时，30%概率免伤+15%（1回合）</t>
  </si>
  <si>
    <t>暴伤积蓄</t>
  </si>
  <si>
    <t>连续2次未暴击后，下次攻击必定暴击</t>
  </si>
  <si>
    <t>风息回复</t>
  </si>
  <si>
    <t>回合结束时若未受伤害，回复5%最大气血</t>
  </si>
  <si>
    <t>致命一击</t>
  </si>
  <si>
    <t>暴击时，直接削减目标当前护盾值10%</t>
  </si>
  <si>
    <t>坚韧不拔</t>
  </si>
  <si>
    <t>单次受伤&gt;20%最大气血时，最终伤害-30%</t>
  </si>
  <si>
    <t>杀意凝聚</t>
  </si>
  <si>
    <t>暴击后能量+5；目标有破绽时额外+3</t>
  </si>
  <si>
    <t>杀意不灭</t>
  </si>
  <si>
    <t>受控制后，立即获得1回合免伤+20%且控制豁免+20%</t>
  </si>
  <si>
    <t>破绽爆发</t>
  </si>
  <si>
    <t>消耗目标全部破绽，每层追加1段80%攻击伤害</t>
  </si>
  <si>
    <t>控制免疫</t>
  </si>
  <si>
    <t>每回合免疫第一次控制效果</t>
  </si>
  <si>
    <t>天崩地裂</t>
  </si>
  <si>
    <t>暴击溢出伤害（超出目标剩余气血）50%溅射相邻敌人（真伤）</t>
  </si>
  <si>
    <t>破军回响</t>
  </si>
  <si>
    <t>单次受伤&gt;15%最大气血时，返还超出部分的40%为真伤</t>
  </si>
  <si>
    <t>斩灭之息</t>
  </si>
  <si>
    <t>目标气血&lt;25%时，暴击无视50%防御</t>
  </si>
  <si>
    <t>战斗开始时能量+15，且首回合能量获取+40%</t>
  </si>
  <si>
    <t>回合开始时，30%概率净化自身1个减益</t>
  </si>
  <si>
    <t>无情破甲</t>
  </si>
  <si>
    <t>暴击后追加1层破甲，且本次伤害无视目标10%防御</t>
  </si>
  <si>
    <t>破盾之力</t>
  </si>
  <si>
    <t>攻击护盾目标时，本次攻击护盾削减+15%</t>
  </si>
  <si>
    <t>气血&gt;70%时，受到伤害-10%</t>
  </si>
  <si>
    <t>反伤抑制</t>
  </si>
  <si>
    <t>攻击有反伤目标时，50%伤害无视反伤结算</t>
  </si>
  <si>
    <t>战斗开始时能量+15，且首回合能量获取+50%</t>
  </si>
  <si>
    <t>坚壁击穿</t>
  </si>
  <si>
    <t>对护盾目标暴击时，护盾伤害翻倍</t>
  </si>
  <si>
    <t>碎盾重击</t>
  </si>
  <si>
    <t>击破护盾后，目标1回合内免伤-10%</t>
  </si>
  <si>
    <t>压制治疗</t>
  </si>
  <si>
    <t>攻击命中后，目标受治疗-15%（1回合）</t>
  </si>
  <si>
    <t>速度高于攻击者时，闪避率+20%且闪避后速度+10%（1回合）</t>
  </si>
  <si>
    <t>吸血剥夺</t>
  </si>
  <si>
    <t>攻击命中后，目标吸血回复量-20%（1回合）</t>
  </si>
  <si>
    <t>残影护体</t>
  </si>
  <si>
    <t>连续闪避3次后，获得20%最大气血护盾（每场1次）</t>
  </si>
  <si>
    <t>重压之势</t>
  </si>
  <si>
    <t>攻击有护盾/反伤增益的目标时，伤害独立+8%</t>
  </si>
  <si>
    <t>击破护盾时，对目标追加自身攻击80%的真伤</t>
  </si>
  <si>
    <t>护盾侵蚀</t>
  </si>
  <si>
    <t>每次命中护盾目标，目标护盾加成-5%（叠2层，2回合）</t>
  </si>
  <si>
    <t>碎盾爆裂</t>
  </si>
  <si>
    <t>击破护盾时，对目标追加自身攻击100%的真伤</t>
  </si>
  <si>
    <t>反噬压制</t>
  </si>
  <si>
    <t>攻击有反伤目标时，反伤伤害的50%转化为自身气血回复</t>
  </si>
  <si>
    <t>坚壁瓦解</t>
  </si>
  <si>
    <t>对护盾目标伤害+30%，且每次命中使护盾值-5%</t>
  </si>
  <si>
    <t>绝对压制</t>
  </si>
  <si>
    <t>目标有护盾时，其最终伤害减免-8%（仅自身对其生效）</t>
  </si>
  <si>
    <t>破阵之锤</t>
  </si>
  <si>
    <t>攻击护盾目标时，消耗目标当前护盾10%转化为额外真伤</t>
  </si>
  <si>
    <t>无视目标15%闪避率（命中仍≤95%）</t>
  </si>
  <si>
    <t>锁定追踪</t>
  </si>
  <si>
    <t>攻击闪避率高于自身的目标时，必定命中（每回合1次）</t>
  </si>
  <si>
    <t>致盲辅助</t>
  </si>
  <si>
    <t>命中后20%概率致盲目标1回合（命中-30%）</t>
  </si>
  <si>
    <t>速度压制</t>
  </si>
  <si>
    <t>速度高于目标时，普攻追加1段30%伤害</t>
  </si>
  <si>
    <t>破影之锋</t>
  </si>
  <si>
    <t>攻击闪避目标时，伤害的30%转化为真伤</t>
  </si>
  <si>
    <t>先手打击</t>
  </si>
  <si>
    <t>本回合最先行动时，伤害+15%且必定命中</t>
  </si>
  <si>
    <t>控制锁定</t>
  </si>
  <si>
    <t>攻击致盲目标时，控制成功率+15%</t>
  </si>
  <si>
    <t>影蚀标记</t>
  </si>
  <si>
    <t>命中同一目标2次后，目标速度-10%（2回合）</t>
  </si>
  <si>
    <t>护盾存在时，免伤独立+6%</t>
  </si>
  <si>
    <t>风驰电掣</t>
  </si>
  <si>
    <t>速度高于攻击者时，闪避率+15%且闪避后反击（50%攻击）</t>
  </si>
  <si>
    <t>连势不散</t>
  </si>
  <si>
    <t>每回合首次受击伤害-30%，后续受击正常</t>
  </si>
  <si>
    <t>击杀目标后，立即追加1次60%攻击（不占回合）</t>
  </si>
  <si>
    <t>先手制敌</t>
  </si>
  <si>
    <t>本回合最先行动时，免伤+20%且能量+5</t>
  </si>
  <si>
    <t>风怒回响</t>
  </si>
  <si>
    <t>闪避成功后，下回合必定先手行动（无视速度排序，每场3次）</t>
  </si>
  <si>
    <t>暴伤抵御</t>
  </si>
  <si>
    <t>受到暴击后，下回合暴击抵抗+15%</t>
  </si>
  <si>
    <t>破军之盾</t>
  </si>
  <si>
    <t>受到暴击时，获得5%最大气血护盾（每回合1次）</t>
  </si>
  <si>
    <t>真伤抵御</t>
  </si>
  <si>
    <t>受到真伤时，真伤伤害-30%</t>
  </si>
  <si>
    <t>受击后能量+3（每回合上限+6）</t>
  </si>
  <si>
    <t>天赋最终乘区收窄</t>
  </si>
  <si>
    <t>天赋分支设计</t>
  </si>
  <si>
    <t>最终乘区只应来自天赋终极节点。</t>
  </si>
  <si>
    <t>天赋分支</t>
  </si>
  <si>
    <t>最终乘区方向</t>
  </si>
  <si>
    <t>适合流派</t>
  </si>
  <si>
    <t>不建议属性</t>
  </si>
  <si>
    <t>攻伐</t>
  </si>
  <si>
    <t>最终伤害提升% / 最终攻击%</t>
  </si>
  <si>
    <t>暴击率、暴击伤害、伤害提升、真实伤害率、吸血率</t>
  </si>
  <si>
    <t>连击、暴伤</t>
  </si>
  <si>
    <t>护盾、反伤、免伤</t>
  </si>
  <si>
    <t>守御</t>
  </si>
  <si>
    <t>最终伤害减免% / 最终防御%</t>
  </si>
  <si>
    <t>免伤率、气血值加成、护盾强度、伤害反弹、暴击抵抗、暴伤减免</t>
  </si>
  <si>
    <t>护盾反伤</t>
  </si>
  <si>
    <t>暴击、连击、真伤</t>
  </si>
  <si>
    <t>五行</t>
  </si>
  <si>
    <t>最终五行伤害提升% / 最终五行抗性%</t>
  </si>
  <si>
    <t>五行攻击%、五行抗性%、控制成功率、五行易伤</t>
  </si>
  <si>
    <t>物理暴击主属性</t>
  </si>
  <si>
    <t>机巧</t>
  </si>
  <si>
    <t>最终闪避/命中相关收益，谨慎设计</t>
  </si>
  <si>
    <t>命中率、闪避率、反击率、速度、控制成功率</t>
  </si>
  <si>
    <t>闪避、控制</t>
  </si>
  <si>
    <t>暴伤、真伤主属性</t>
  </si>
  <si>
    <t>注意：</t>
  </si>
  <si>
    <t>SAP</t>
  </si>
  <si>
    <t>每个属性应设定来源预算。</t>
  </si>
  <si>
    <t>1单位属性点</t>
  </si>
  <si>
    <t>来源类型</t>
  </si>
  <si>
    <t>占该属性总预算</t>
  </si>
  <si>
    <t>1 SAP = 12气血 = 2攻击 = 2防御 = 2命中 = 2闪避 = 2速度</t>
  </si>
  <si>
    <t>主来源</t>
  </si>
  <si>
    <t>60%~80%</t>
  </si>
  <si>
    <t>副来源</t>
  </si>
  <si>
    <t>20%~40%</t>
  </si>
  <si>
    <t>禁止来源</t>
  </si>
  <si>
    <t>示例1：暴击率总预算</t>
  </si>
  <si>
    <t>假设满级标准玩家暴击率总预算为60%。</t>
  </si>
  <si>
    <t>实际投放</t>
  </si>
  <si>
    <t>暴伤流派</t>
  </si>
  <si>
    <t>攻伐天赋</t>
  </si>
  <si>
    <t>护腕副词条</t>
  </si>
  <si>
    <t>总计</t>
  </si>
  <si>
    <t>其他系统不应再提供暴击率。</t>
  </si>
  <si>
    <t>示例2：护盾强度总预算</t>
  </si>
  <si>
    <t>假设满级护盾强度总预算为50%。</t>
  </si>
  <si>
    <t>不动流派</t>
  </si>
  <si>
    <t>甲胄</t>
  </si>
  <si>
    <t>守御天赋</t>
  </si>
  <si>
    <t>饰品副词条</t>
  </si>
  <si>
    <t>宠物和坐骑不应作为护盾强度主来源。</t>
  </si>
  <si>
    <t>示例3：速度总预算</t>
  </si>
  <si>
    <t>速度比较特殊，因为它是行动顺序核心。</t>
  </si>
  <si>
    <t>速度来源可以稍宽，但仍要收窄。</t>
  </si>
  <si>
    <t>等级固定成长</t>
  </si>
  <si>
    <t>基础速度</t>
  </si>
  <si>
    <t>自由属性点</t>
  </si>
  <si>
    <t>玩家选择</t>
  </si>
  <si>
    <t>装备鞋子</t>
  </si>
  <si>
    <t>鞋子主属性</t>
  </si>
  <si>
    <t>坐骑核心</t>
  </si>
  <si>
    <t>连击/闪避流派少量</t>
  </si>
  <si>
    <t>0%~5%</t>
  </si>
  <si>
    <t>机巧天赋少量</t>
  </si>
  <si>
    <t>天赋不建议大量给速度，否则终极天赋会变成速度竞赛。</t>
  </si>
  <si>
    <t>法宝主攻伐，神器主防守</t>
  </si>
  <si>
    <t># 法宝/神器系统最终完整版</t>
  </si>
  <si>
    <t>---</t>
  </si>
  <si>
    <t>## 一、系统定位</t>
  </si>
  <si>
    <t>| 维度 | 法宝 | 神器 |</t>
  </si>
  <si>
    <t>|---|---|---|</t>
  </si>
  <si>
    <t>| 方向 | 主攻伐 | 主防守 |</t>
  </si>
  <si>
    <t>| 装备槽 | 1个 | 1个 |</t>
  </si>
  <si>
    <t>| 核心机制 | 灵能充能 → 主动释放 | 护体充能 → 条件触发 |</t>
  </si>
  <si>
    <t>| 属性权重 | 20 | 20 |</t>
  </si>
  <si>
    <t>| 数量 | 8 | 8 |</t>
  </si>
  <si>
    <t>| 与宠物/坐骑区别 | 宠物坐骑=常驻光环；法宝神器=战斗触发技能 | 同左 |</t>
  </si>
  <si>
    <t>## 二、充能机制（已修复）</t>
  </si>
  <si>
    <t>### 2.1 法宝灵能充能</t>
  </si>
  <si>
    <t>| 规则 | 数值 |</t>
  </si>
  <si>
    <t>|---|---:|</t>
  </si>
  <si>
    <t>| 灵能上限 | 3 |</t>
  </si>
  <si>
    <t>| 每回合开始 | +1 |</t>
  </si>
  <si>
    <t>| 击杀/暴击/连击 | 满足其一 +1 |</t>
  </si>
  <si>
    <t>| 每回合总获取上限 | +2 |</t>
  </si>
  <si>
    <t>| 初始灵能 | 0 |</t>
  </si>
  <si>
    <t>| 灵能满后 | 强制释放，不占用行动回合 |</t>
  </si>
  <si>
    <t>### 2.2 神器护体充能</t>
  </si>
  <si>
    <t>| 护体充能上限 | 3 |</t>
  </si>
  <si>
    <t>| 受伤/闪避/护盾破碎 | 满足其一 +1 |</t>
  </si>
  <si>
    <t>| 初始充能 | 0 |</t>
  </si>
  <si>
    <t>| 充能满后 | 按AI条件触发，不占用行动回合 |</t>
  </si>
  <si>
    <t>### 2.3 充能通用规则</t>
  </si>
  <si>
    <t>| 规则 | 法宝 | 神器 |</t>
  </si>
  <si>
    <t>| 每回合触发次数上限 | 1 | 1 |</t>
  </si>
  <si>
    <t>| 技能是否可暴击 | 是 | 否 |</t>
  </si>
  <si>
    <t>| 技能是否可连击 | 否 | 否 |</t>
  </si>
  <si>
    <t>| 充能是否跨战斗保留 | 否 | 否 |</t>
  </si>
  <si>
    <t>| 触发效果结算 | 只影响触发后的后续伤害/状态 | 只影响触发后的后续伤害/状态 |</t>
  </si>
  <si>
    <t>### 2.4 触发节奏</t>
  </si>
  <si>
    <t>| 场景 | 充能速度 | 触发间隔 |</t>
  </si>
  <si>
    <t>|---|---:|---:|</t>
  </si>
  <si>
    <t>| 前期（无事件） | 每回合+1 | 3回合 |</t>
  </si>
  <si>
    <t>| 后期（事件拉满） | 每回合+2 | 2回合 |</t>
  </si>
  <si>
    <t>| 平均 | 约+1.5/回合 | 2~3回合 |</t>
  </si>
  <si>
    <t>## 三、战前AI设置</t>
  </si>
  <si>
    <t>### 3.1 法宝AI（选择目标优先级）</t>
  </si>
  <si>
    <t>| 选项 | 说明 |</t>
  </si>
  <si>
    <t>|---|---|</t>
  </si>
  <si>
    <t>| 优先攻击气血最低 | 收割残血 |</t>
  </si>
  <si>
    <t>| 优先攻击防御最低 | 快速突破 |</t>
  </si>
  <si>
    <t>| 优先攻击攻击最高 | 压制输出 |</t>
  </si>
  <si>
    <t>| 优先攻击暴露后排 | 切后 |</t>
  </si>
  <si>
    <t>| 优先攻击有异常状态目标 | 配合异常流 |</t>
  </si>
  <si>
    <t>&gt; 灵能满后**强制释放**，AI仅决定目标选择，不因条件不满足而保留灵能。</t>
  </si>
  <si>
    <t>### 3.2 神器AI（选择触发时机）</t>
  </si>
  <si>
    <t>| 立即触发 | 充能满即触发，节奏稳定 |</t>
  </si>
  <si>
    <t>| 气血低于50%时触发 | 保命优先，满3后保留等待 |</t>
  </si>
  <si>
    <t>| 护盾破碎时触发 | 连续防护 |</t>
  </si>
  <si>
    <t>| 受到暴击时触发 | 反制暴伤流 |</t>
  </si>
  <si>
    <t>&gt; 非立即触发模式下，充能满3后**保留**，不再增长，等待条件满足。</t>
  </si>
  <si>
    <t>## 四、属性结构</t>
  </si>
  <si>
    <t>每件法宝/神器固定提供四项属性：</t>
  </si>
  <si>
    <t>| 槽位 | 类型 | 是否随强化提升 |</t>
  </si>
  <si>
    <t>| 基础属性1 | A类 | ✅ 每级+4% |</t>
  </si>
  <si>
    <t>| 基础属性2 | A类 | ✅ 每级+4% |</t>
  </si>
  <si>
    <t>| 系数加成 | L3独立乘区 | ❌ 固定 |</t>
  </si>
  <si>
    <t>| 独立机制 | 非基础属性 | ❌ 固定 |</t>
  </si>
  <si>
    <t>### 4.1 法宝属性池</t>
  </si>
  <si>
    <t>| 槽位 | 允许属性 |</t>
  </si>
  <si>
    <t>| 基础属性1 | 攻击 |</t>
  </si>
  <si>
    <t>| 基础属性2 | 命中 / 速度 / 效果命中 / 能量获取效率 |</t>
  </si>
  <si>
    <t>| 系数加成 | 伤害系数 / 攻击系数 / 连击伤害系数 |</t>
  </si>
  <si>
    <t>| 独立机制 | 暴击率 / 连击率 / 效果命中 / 初始能量 / 能量获取效率 |</t>
  </si>
  <si>
    <t>**不允许**：闪避、防御、气血、免伤、护盾、反伤、破甲、暴击伤害、易伤。</t>
  </si>
  <si>
    <t>### 4.2 神器属性池</t>
  </si>
  <si>
    <t>| 基础属性1 | 防御 |</t>
  </si>
  <si>
    <t>| 基础属性2 | 气血 / 免伤率 / 暴伤减免 / 控制豁免 |</t>
  </si>
  <si>
    <t>| 系数加成 | 免伤系数 / 气血系数 |</t>
  </si>
  <si>
    <t>| 独立机制 | 控制豁免 / 暴击抵抗 / 暴伤减免 / 伤害反弹 / 治疗强度加成 / 闪避率（仅风火轮） |</t>
  </si>
  <si>
    <t>**不允许**：攻击、暴击、连击、速度、能量获取效率、破甲、易伤。</t>
  </si>
  <si>
    <t>### 4.3 法宝/神器技能机制与装备独有属性的关系</t>
  </si>
  <si>
    <t>```text</t>
  </si>
  <si>
    <t>法宝/神器的属性面板不提供装备独有属性；</t>
  </si>
  <si>
    <t>技能效果可以有限提供破甲、护盾、反伤、净化等特殊效果；</t>
  </si>
  <si>
    <t>同类效果强度低于流派技能和装备词条。</t>
  </si>
  <si>
    <t>```</t>
  </si>
  <si>
    <t>## 五、品质基准</t>
  </si>
  <si>
    <t>| 品质 | 强化上限 | 基础属性倍率 | 系数加成 | 强化材料返还 |</t>
  </si>
  <si>
    <t>|---|---:|---:|---:|---:|</t>
  </si>
  <si>
    <t>| 凡品 | +5 | 80% | 2% | 分解返还50% |</t>
  </si>
  <si>
    <t>| 玄品 | +10 | 100% | 3% | 分解返还55% |</t>
  </si>
  <si>
    <t>| 地品 | +15 | 115% | 4% | 分解返还60% |</t>
  </si>
  <si>
    <t>| 天品 | +15 | 130% | 5% | 分解返还65% |</t>
  </si>
  <si>
    <t>| 仙品 | +20 | 145% | 6% | 分解返还70% |</t>
  </si>
  <si>
    <t>**独立乘区固定，不随品质变化。**</t>
  </si>
  <si>
    <t>### 5.1 品质出现场景</t>
  </si>
  <si>
    <t>| 品质 | 出现场景 |</t>
  </si>
  <si>
    <t>| 凡品 | 普通关卡掉落、商店购买 |</t>
  </si>
  <si>
    <t>| 玄品 | 精英关卡掉落、普通Boss首杀 |</t>
  </si>
  <si>
    <t>| 地品 | Boss关卡掉落、精英Boss首杀 |</t>
  </si>
  <si>
    <t>| 天品 | 妖王挑战、隐藏Boss |</t>
  </si>
  <si>
    <t>| 仙品 | 挑战层高层、妖王首杀、终极隐藏Boss |</t>
  </si>
  <si>
    <t>## 六、法宝完整数值表</t>
  </si>
  <si>
    <t>### 6.0 法宝基础属性基准值</t>
  </si>
  <si>
    <t>| 品质 | 攻击 | 强化满后攻击 | 命中 | 速度 | 效果命中 | 能量获取效率 |</t>
  </si>
  <si>
    <t>|---|---:|---:|---:|---:|---:|---:|</t>
  </si>
  <si>
    <t>| 凡品 | 16 | 19 | 16 | 4 | 4% | 4% |</t>
  </si>
  <si>
    <t>| 玄品 | 20 | 28 | 20 | 5 | 5% | 5% |</t>
  </si>
  <si>
    <t>| 地品 | 23 | 37 | 23 | 6 | 6% | 6% |</t>
  </si>
  <si>
    <t>| 天品 | 26 | 42 | 26 | 7 | 7% | 7% |</t>
  </si>
  <si>
    <t>| 仙品 | 29 | 52 | 29 | 8 | 9% | 9% |</t>
  </si>
  <si>
    <t>### 法宝1：斩仙剑</t>
  </si>
  <si>
    <t>**定位**：爆发/斩杀</t>
  </si>
  <si>
    <t>| 品质 | 攻击 | 命中 | 伤害系数 | 暴击率 | 强化上限 |</t>
  </si>
  <si>
    <t>|---|---:|---:|---:|---:|---:|</t>
  </si>
  <si>
    <t>| 凡品 | +16 | +16 | +2% | +3% | +5 |</t>
  </si>
  <si>
    <t>| 玄品 | +20 | +20 | +3% | +4% | +10 |</t>
  </si>
  <si>
    <t>| 地品 | +23 | +23 | +4% | +5% | +15 |</t>
  </si>
  <si>
    <t>| 天品 | +26 | +26 | +5% | +6% | +15 |</t>
  </si>
  <si>
    <t>| 仙品 | +29 | +29 | +6% | +8% | +20 |</t>
  </si>
  <si>
    <t>**技能**：对目标造成180%攻击伤害，目标气血&gt;50%时伤害提升至220%</t>
  </si>
  <si>
    <t>**独立乘区**：攻击气血&gt;50%目标时，伤害独立+8%</t>
  </si>
  <si>
    <t>### 法宝2：破军斧</t>
  </si>
  <si>
    <t>**定位**：削甲开路</t>
  </si>
  <si>
    <t>| 品质 | 攻击 | 命中 | 攻击系数 | 效果命中 | 强化上限 |</t>
  </si>
  <si>
    <t>| 凡品 | +16 | +16 | +2% | +4% | +5 |</t>
  </si>
  <si>
    <t>| 玄品 | +20 | +20 | +3% | +5% | +10 |</t>
  </si>
  <si>
    <t>| 地品 | +23 | +23 | +4% | +6% | +15 |</t>
  </si>
  <si>
    <t>| 天品 | +26 | +26 | +5% | +7% | +15 |</t>
  </si>
  <si>
    <t>| 仙品 | +29 | +29 | +6% | +9% | +20 |</t>
  </si>
  <si>
    <t>**技能**：对目标造成120%攻击伤害，施加破甲+20%持续2回合</t>
  </si>
  <si>
    <t>**独立乘区**：攻击防御高于自身目标时，伤害独立+10%</t>
  </si>
  <si>
    <t>### 法宝3：追魂锥</t>
  </si>
  <si>
    <t>**定位**：收割循环</t>
  </si>
  <si>
    <t>| 品质 | 攻击 | 速度 | 伤害系数 | 能量获取效率 | 强化上限 |</t>
  </si>
  <si>
    <t>| 凡品 | +16 | +4 | +2% | +4% | +5 |</t>
  </si>
  <si>
    <t>| 玄品 | +20 | +5 | +3% | +5% | +10 |</t>
  </si>
  <si>
    <t>| 地品 | +23 | +6 | +4% | +6% | +15 |</t>
  </si>
  <si>
    <t>| 天品 | +26 | +7 | +5% | +7% | +15 |</t>
  </si>
  <si>
    <t>| 仙品 | +29 | +8 | +6% | +9% | +20 |</t>
  </si>
  <si>
    <t>**技能**：对气血最低目标造成150%攻击伤害，若击杀灵能+1</t>
  </si>
  <si>
    <t>**独立乘区**：攻击气血&lt;50%目标时，伤害独立+8%</t>
  </si>
  <si>
    <t>### 法宝4：降妖杵</t>
  </si>
  <si>
    <t>**定位**：多段攻击</t>
  </si>
  <si>
    <t>| 品质 | 攻击 | 速度 | 连击伤害系数 | 连击率 | 强化上限 |</t>
  </si>
  <si>
    <t>| 凡品 | +16 | +4 | +2% | +3% | +5 |</t>
  </si>
  <si>
    <t>| 玄品 | +20 | +5 | +3% | +4% | +10 |</t>
  </si>
  <si>
    <t>| 地品 | +23 | +6 | +4% | +5% | +15 |</t>
  </si>
  <si>
    <t>| 天品 | +26 | +7 | +5% | +6% | +15 |</t>
  </si>
  <si>
    <t>| 仙品 | +29 | +8 | +6% | +8% | +20 |</t>
  </si>
  <si>
    <t>**技能**：攻击3次，每次60%攻击伤害，可暴击，**不可触发连击**</t>
  </si>
  <si>
    <t>**独立乘区**：每次法宝技能命中，本次战斗伤害独立+2%，最多叠3层</t>
  </si>
  <si>
    <t>### 法宝5：镇魔塔</t>
  </si>
  <si>
    <t>**定位**：群攻压制</t>
  </si>
  <si>
    <t>| 品质 | 攻击 | 命中 | 伤害系数 | 效果命中 | 强化上限 |</t>
  </si>
  <si>
    <t>**技能**：对全体敌人造成100%攻击伤害，对受控目标额外+30%</t>
  </si>
  <si>
    <t>**独立乘区**：对受控目标伤害独立+10%</t>
  </si>
  <si>
    <t>### 法宝6：缚妖索</t>
  </si>
  <si>
    <t>**定位**：控制干扰</t>
  </si>
  <si>
    <t>| 品质 | 攻击 | 速度 | 攻击系数 | 初始能量 | 强化上限 |</t>
  </si>
  <si>
    <t>| 凡品 | +16 | +4 | +2% | +4 | +5 |</t>
  </si>
  <si>
    <t>| 玄品 | +20 | +5 | +3% | +5 | +10 |</t>
  </si>
  <si>
    <t>| 地品 | +23 | +6 | +4% | +6 | +15 |</t>
  </si>
  <si>
    <t>| 天品 | +26 | +7 | +5% | +7 | +15 |</t>
  </si>
  <si>
    <t>| 仙品 | +29 | +8 | +6% | +9 | +20 |</t>
  </si>
  <si>
    <t>**技能**：对目标造成100%攻击伤害，50%概率附加1回合控制</t>
  </si>
  <si>
    <t>**独立乘区**：攻击未受控目标时，控制成功率+8%</t>
  </si>
  <si>
    <t>### 法宝7：离火扇</t>
  </si>
  <si>
    <t>**定位**：持续伤害</t>
  </si>
  <si>
    <t>**技能**：对目标造成110%攻击伤害，附加灼烧（每回合20%攻击伤害，持续2回合）</t>
  </si>
  <si>
    <t>**灼烧规则**：</t>
  </si>
  <si>
    <t>| 规则 | 说明 |</t>
  </si>
  <si>
    <t>| 类型 | 通用DoT，非五行异常 |</t>
  </si>
  <si>
    <t>| 重复命中 | 刷新持续时间，不叠加 |</t>
  </si>
  <si>
    <t>| 暴击 | 不暴击 |</t>
  </si>
  <si>
    <t>| 连击 | 不触发连击 |</t>
  </si>
  <si>
    <t>| 可否净化 | 可被玉净瓶/紫金葫芦清除 |</t>
  </si>
  <si>
    <t>**独立乘区**：攻击灼烧目标时，伤害独立+8%</t>
  </si>
  <si>
    <t>### 法宝8：聚灵珠</t>
  </si>
  <si>
    <t>**定位**：循环加速</t>
  </si>
  <si>
    <t>| 品质 | 攻击 | 速度 | 攻击系数 | 能量获取效率 | 强化上限 |</t>
  </si>
  <si>
    <t>**技能**：对目标造成130%攻击伤害，自身灵能+1</t>
  </si>
  <si>
    <t>**独立乘区**：灵能满时，伤害独立+6%</t>
  </si>
  <si>
    <t>## 七、神器完整数值表</t>
  </si>
  <si>
    <t>### 7.0 神器基础属性基准值</t>
  </si>
  <si>
    <t>| 品质 | 防御 | 强化满后防御 | 气血 | 免伤率 | 暴伤减免 | 控制豁免 |</t>
  </si>
  <si>
    <t>| 凡品 | 12 | 14 | 120 | 2% | 4% | 4% |</t>
  </si>
  <si>
    <t>| 玄品 | 15 | 21 | 150 | 3% | 5% | 5% |</t>
  </si>
  <si>
    <t>| 地品 | 17 | 27 | 170 | 4% | 6% | 6% |</t>
  </si>
  <si>
    <t>| 天品 | 20 | 32 | 195 | 5% | 7% | 7% |</t>
  </si>
  <si>
    <t>| 仙品 | 22 | 40 | 220 | 6% | 8% | 8% |</t>
  </si>
  <si>
    <t>### 神器1：金刚罩</t>
  </si>
  <si>
    <t>**定位**：硬防护</t>
  </si>
  <si>
    <t>| 品质 | 防御 | 气血 | 免伤系数 | 控制豁免 | 强化上限 |</t>
  </si>
  <si>
    <t>| 凡品 | +12 | +120 | +2% | +4% | +5 |</t>
  </si>
  <si>
    <t>| 玄品 | +15 | +150 | +3% | +5% | +10 |</t>
  </si>
  <si>
    <t>| 地品 | +17 | +170 | +4% | +6% | +15 |</t>
  </si>
  <si>
    <t>| 天品 | +20 | +195 | +5% | +7% | +15 |</t>
  </si>
  <si>
    <t>| 仙品 | +22 | +220 | +6% | +8% | +20 |</t>
  </si>
  <si>
    <t>**触发**：获得最大气血25%护盾，持续2回合。若已有护盾，取较高值，不叠加。</t>
  </si>
  <si>
    <t>**独立乘区**：护盾存在时，免伤独立+6%</t>
  </si>
  <si>
    <t>### 神器2：太极图</t>
  </si>
  <si>
    <t>**定位**：减伤</t>
  </si>
  <si>
    <t>| 品质 | 防御 | 气血 | 免伤系数 | 暴击抵抗 | 强化上限 |</t>
  </si>
  <si>
    <t>| 凡品 | +12 | +120 | +2% | +3% | +5 |</t>
  </si>
  <si>
    <t>| 玄品 | +15 | +150 | +3% | +4% | +10 |</t>
  </si>
  <si>
    <t>| 地品 | +17 | +170 | +4% | +5% | +15 |</t>
  </si>
  <si>
    <t>| 天品 | +20 | +195 | +5% | +6% | +15 |</t>
  </si>
  <si>
    <t>**触发**：获得免伤+20%，持续1回合。只对触发后的后续伤害生效。</t>
  </si>
  <si>
    <t>**独立乘区**：受到技能伤害后，本回合免伤独立+8%</t>
  </si>
  <si>
    <t>### 神器3：玉净瓶</t>
  </si>
  <si>
    <t>**定位**：续航净化</t>
  </si>
  <si>
    <t>| 品质 | 防御 | 气血 | 气血系数 | 控制豁免 | 强化上限 |</t>
  </si>
  <si>
    <t>**触发**：回复最大气血20%，清除自身1个**异常状态**（灼烧、减速、破甲、缠绕、重压），**不解除控制**。</t>
  </si>
  <si>
    <t>**独立乘区**：气血&lt;50%时，受到治疗独立+15%</t>
  </si>
  <si>
    <t>### 神器4：镇妖铃</t>
  </si>
  <si>
    <t>**定位**：反制</t>
  </si>
  <si>
    <t>| 品质 | 防御 | 气血 | 免伤系数 | 伤害反弹 | 强化上限 |</t>
  </si>
  <si>
    <t>**触发**：获得伤害反弹+60%效果，持续1回合。总伤害反弹仍受60%上限限制。</t>
  </si>
  <si>
    <t>**独立乘区**：受到近战攻击后，本次战斗反伤独立+10%，最多叠2层</t>
  </si>
  <si>
    <t>### 神器5：风火轮</t>
  </si>
  <si>
    <t>**定位**：闪避机动</t>
  </si>
  <si>
    <t>| 品质 | 防御 | 闪避 | 免伤系数 | 闪避率 | 强化上限 |</t>
  </si>
  <si>
    <t>| 凡品 | +12 | +10 | +2% | +3% | +5 |</t>
  </si>
  <si>
    <t>| 玄品 | +15 | +12 | +3% | +4% | +10 |</t>
  </si>
  <si>
    <t>| 地品 | +17 | +14 | +4% | +5% | +15 |</t>
  </si>
  <si>
    <t>| 天品 | +20 | +16 | +5% | +6% | +15 |</t>
  </si>
  <si>
    <t>| 仙品 | +22 | +18 | +6% | +8% | +20 |</t>
  </si>
  <si>
    <t>**触发**：获得闪避率+20%，持续1回合。触发后若成功闪避1次，速度+5，持续1回合。</t>
  </si>
  <si>
    <t>**独立乘区**：闪避成功后，免伤独立+5%，持续1回合</t>
  </si>
  <si>
    <t>### 神器6：八卦镜</t>
  </si>
  <si>
    <t>**定位**：防暴击</t>
  </si>
  <si>
    <t>| 品质 | 防御 | 气血 | 免伤系数 | 暴伤减免 | 强化上限 |</t>
  </si>
  <si>
    <t>**触发**：获得暴击抵抗+40%，暴伤减免+30%，持续1回合。只对触发后的后续攻击生效。</t>
  </si>
  <si>
    <t>**独立乘区**：受到暴击后，本回合暴击抵抗独立+20%</t>
  </si>
  <si>
    <t>### 神器7：紫金葫芦</t>
  </si>
  <si>
    <t>**定位**：自身净化</t>
  </si>
  <si>
    <t>**触发**：清除自身所有**异常状态**（灼烧、减速、破甲、缠绕、重压），获得控制豁免+50%，持续1回合。**不解除已受控制**。</t>
  </si>
  <si>
    <t>**独立乘区**：被控制后，控制豁免独立+15%</t>
  </si>
  <si>
    <t>### 神器8：琉璃盏</t>
  </si>
  <si>
    <t>**定位**：持续回复</t>
  </si>
  <si>
    <t>| 品质 | 防御 | 气血 | 气血系数 | 治疗强度加成 | 强化上限 |</t>
  </si>
  <si>
    <t>**触发**：回复最大气血10%，之后每回合回复5%，持续2回合</t>
  </si>
  <si>
    <t>**独立乘区**：回合结束时若气血&gt;50%，受治疗独立+8%</t>
  </si>
  <si>
    <t>## 八、强化数值变化示例</t>
  </si>
  <si>
    <t>### 8.1 玄品斩仙剑（+0 → +10）</t>
  </si>
  <si>
    <t>| 强化等级 | 攻击 | 命中 | 伤害系数 | 暴击率 |</t>
  </si>
  <si>
    <t>|---:|---:|---:|---:|---:|</t>
  </si>
  <si>
    <t>| +0 | 20 | 20 | 3% | 4% |</t>
  </si>
  <si>
    <t>| +1 | 21 | 21 | 3% | 4% |</t>
  </si>
  <si>
    <t>| +2 | 22 | 22 | 3% | 4% |</t>
  </si>
  <si>
    <t>| +3 | 22 | 22 | 3% | 4% |</t>
  </si>
  <si>
    <t>| +4 | 23 | 23 | 3% | 4% |</t>
  </si>
  <si>
    <t>| +5 | 24 | 24 | 3% | 4% |</t>
  </si>
  <si>
    <t>| +6 | 25 | 25 | 3% | 4% |</t>
  </si>
  <si>
    <t>| +7 | 26 | 26 | 3% | 4% |</t>
  </si>
  <si>
    <t>| +8 | 26 | 26 | 3% | 4% |</t>
  </si>
  <si>
    <t>| +9 | 27 | 27 | 3% | 4% |</t>
  </si>
  <si>
    <t>| +10 | 28 | 28 | 3% | 4% |</t>
  </si>
  <si>
    <t>&gt; 系数加成和独立机制不随强化变化。</t>
  </si>
  <si>
    <t>### 8.2 仙品金刚罩（+0 → +20）</t>
  </si>
  <si>
    <t>| 强化等级 | 防御 | 气血 | 免伤系数 | 控制豁免 |</t>
  </si>
  <si>
    <t>| +0 | 22 | 220 | 6% | 8% |</t>
  </si>
  <si>
    <t>| +4 | 26 | 255 | 6% | 8% |</t>
  </si>
  <si>
    <t>| +8 | 29 | 290 | 6% | 8% |</t>
  </si>
  <si>
    <t>| +12 | 33 | 326 | 6% | 8% |</t>
  </si>
  <si>
    <t>| +16 | 36 | 361 | 6% | 8% |</t>
  </si>
  <si>
    <t>| +20 | 40 | 396 | 6% | 8% |</t>
  </si>
  <si>
    <t>## 九、分解返还</t>
  </si>
  <si>
    <t>| 品质 | 分解返还 |</t>
  </si>
  <si>
    <t>| 凡品 | 50% |</t>
  </si>
  <si>
    <t>| 玄品 | 55% |</t>
  </si>
  <si>
    <t>| 地品 | 60% |</t>
  </si>
  <si>
    <t>| 天品 | 65% |</t>
  </si>
  <si>
    <t>| 仙品 | 70% |</t>
  </si>
  <si>
    <t>&gt; 返还的是**强化材料**，不返还基础法宝/神器本身。玩家可尝试不同搭配，降低试错成本。</t>
  </si>
  <si>
    <t>## 十、与流派搭配总览</t>
  </si>
  <si>
    <t>| 流派 | 最佳法宝 | 最佳神器 | 契合度 |</t>
  </si>
  <si>
    <t>|---|---|---|---|</t>
  </si>
  <si>
    <t>| 连击流 | 降妖杵（多段叠伤） | 太极图（免伤） | ★★★★ |</t>
  </si>
  <si>
    <t>| 暴伤流 | 斩仙剑（斩杀） | 八卦镜（防暴击） | ★★★★ |</t>
  </si>
  <si>
    <t>| 护盾反伤流 | 破军斧（削甲） | 金刚罩（护盾叠加） | ★★★★★ |</t>
  </si>
  <si>
    <t>| 闪避流 | 追魂锥（收割） | 风火轮（闪避联动） | ★★★★ |</t>
  </si>
  <si>
    <t>| 控制流 | 缚妖索（控制） | 紫金葫芦（净化） | ★★★★ |</t>
  </si>
  <si>
    <t>| 持续伤害流 | 离火扇（灼烧DoT） | 琉璃盏（持续回复） | ★★★ |</t>
  </si>
  <si>
    <t>## 十一、获取途径</t>
  </si>
  <si>
    <t>| 获取途径 | 可产出品质 |</t>
  </si>
  <si>
    <t>| 普通关卡掉落 | 凡品 |</t>
  </si>
  <si>
    <t>| 商店购买 | 凡品 |</t>
  </si>
  <si>
    <t>| 精英关卡掉落 | 凡品~玄品 |</t>
  </si>
  <si>
    <t>| 普通Boss首杀 | 玄品 |</t>
  </si>
  <si>
    <t>| Boss关卡掉落 | 玄品~地品 |</t>
  </si>
  <si>
    <t>| 精英Boss首杀 | 地品 |</t>
  </si>
  <si>
    <t>| 妖王挑战 | 地品~天品 |</t>
  </si>
  <si>
    <t>| 隐藏Boss | 天品 |</t>
  </si>
  <si>
    <t>| 挑战层高层 | 天品~仙品 |</t>
  </si>
  <si>
    <t>| 妖王首杀 | 仙品 |</t>
  </si>
  <si>
    <t>| 终极隐藏Boss | 仙品 |</t>
  </si>
  <si>
    <t>## 十二、与宠物/坐骑最终对比</t>
  </si>
  <si>
    <t>| 维度 | 宠物 | 坐骑 | 法宝 | 神器 |</t>
  </si>
  <si>
    <t>|---|---|---|---|---|</t>
  </si>
  <si>
    <t>| 类型 | 常驻光环 | 常驻光环 | 充能技能 | 触发技能 |</t>
  </si>
  <si>
    <t>| 定位 | 输出/异常补充 | 行动/生存节奏 | 主动攻伐 | 被动防守 |</t>
  </si>
  <si>
    <t>| 属性权重 | 25 | 25 | 20 | 20 |</t>
  </si>
  <si>
    <t>| 数量 | 若干 | 若干 | 8 | 8 |</t>
  </si>
  <si>
    <t>| 独立乘区 | 条件型（攻击类） | 条件型（生存类） | 条件型（攻击类） | 条件型（防御类） |</t>
  </si>
  <si>
    <t>| AI参与 | 无 | 无 | 选目标 | 选触发时机 |</t>
  </si>
  <si>
    <t>| 强化 | 可强化 | 可强化 | 仅强化 | 仅强化 |</t>
  </si>
  <si>
    <t>| 升星 | 可升星 | 可升星 | 不可升星 | 不可升星 |</t>
  </si>
  <si>
    <t>| 分解返还 | 有 | 有 | 有 | 有 |</t>
  </si>
  <si>
    <t>## 十三、已修复问题清单</t>
  </si>
  <si>
    <t>| # | 问题 | 修复 |</t>
  </si>
  <si>
    <t>| 1 | 充能太快导致每回合触发 | 每回合总获取上限+2 |</t>
  </si>
  <si>
    <t>| 2 | 降妖杵与不可连击冲突 | 不可触发连击，只可暴击 |</t>
  </si>
  <si>
    <t>| 3 | 净化解除控制过强 | 净化仅清除异常，不解除控制 |</t>
  </si>
  <si>
    <t>| 4 | 紫金葫芦全体效果超权重 | 改为自身效果 |</t>
  </si>
  <si>
    <t>| 5 | 风火轮与坐骑重叠 | 去主动速度，改为闪避成功后才+速度 |</t>
  </si>
  <si>
    <t>| 6 | 法宝基础属性含闪避 | 移除，仅保留命中/速度/效果命中/能量 |</t>
  </si>
  <si>
    <t>| 7 | 神器基础属性闪避过多 | 仅风火轮保留少量闪避 |</t>
  </si>
  <si>
    <t>| 8 | 控制成功率“独立”措辞 | 改为普通加法 |</t>
  </si>
  <si>
    <t>| 9 | “独立机制倍率”字段无意义 | 删除，独立乘区固定 |</t>
  </si>
  <si>
    <t>| 10 | 触发效果结算顺序不明 | 明确只影响触发后的后续伤害 |</t>
  </si>
  <si>
    <t>| 11 | 法宝技能倍率过高 | 控制在100%~220% |</t>
  </si>
  <si>
    <t>| 12 | 离火扇灼烧与五行关联 | 改为通用DoT，不关联五行 |</t>
  </si>
  <si>
    <t>| 13 | 差异化充能前期慢后期快 | 统一充能上限3 |</t>
  </si>
  <si>
    <t>| 14 | 强化后无后续投入 | 增加分解返还机制 |</t>
  </si>
  <si>
    <t>**最终版已完整输出，可直接进配置表。**</t>
  </si>
  <si>
    <t>火·输出宠</t>
  </si>
  <si>
    <t>金·破甲宠</t>
  </si>
  <si>
    <t>无视目标25%闪避率，且命中后目标闪避率-5%（1回合）</t>
  </si>
  <si>
    <t>固定3</t>
  </si>
  <si>
    <t>固定5(独立被动)</t>
  </si>
  <si>
    <t>暴伤/连击率/真伤率/伤害加成/吸血率</t>
  </si>
  <si>
    <t>水·控制宠</t>
  </si>
  <si>
    <t>云梦蛟</t>
  </si>
  <si>
    <t>暴击率+5%</t>
  </si>
  <si>
    <t>攻击灼烧目标时，伤害独立+8%</t>
  </si>
  <si>
    <t>命中率/暴击率/伤害加成/真伤率/吸血率</t>
  </si>
  <si>
    <t>木·辅助宠</t>
  </si>
  <si>
    <t>掠影豹</t>
  </si>
  <si>
    <t>破甲+4%</t>
  </si>
  <si>
    <t>攻击防御高于自身目标，伤害独立+10%</t>
  </si>
  <si>
    <t>闪避率/暴击抵抗/效果命中/控制豁免/气血加成</t>
  </si>
  <si>
    <t>土·守护宠</t>
  </si>
  <si>
    <t>控制成功率+6%</t>
  </si>
  <si>
    <t>对速度高于自身目标，控制成功率+6%</t>
  </si>
  <si>
    <t>免伤率/控制豁免/效果抵抗/气血加成/防御加成</t>
  </si>
  <si>
    <t>踏雪狐</t>
  </si>
  <si>
    <t>治疗强度+8%</t>
  </si>
  <si>
    <t>回合结束气血&lt;50%时，回复最大气血6%</t>
  </si>
  <si>
    <t>免伤率/反弹加成/暴击抵抗/气血加成/护盾加成</t>
  </si>
  <si>
    <t>每回合行动后伤害+3%，最多叠3层，脱战重置</t>
  </si>
  <si>
    <t>腾云瑞兽</t>
  </si>
  <si>
    <t>护盾加成+8%</t>
  </si>
  <si>
    <t>穿云燕</t>
  </si>
  <si>
    <t>幽篁蛇</t>
  </si>
  <si>
    <t>逐日金乌</t>
  </si>
  <si>
    <t>玄甲龟</t>
  </si>
  <si>
    <t>震地玄犀</t>
  </si>
  <si>
    <t>玄冰鲤</t>
  </si>
  <si>
    <t>磐石牛</t>
  </si>
  <si>
    <t>首回合伤害+20%，第2回合+10%，第3回合起正常</t>
  </si>
  <si>
    <t>御寒鹿</t>
  </si>
  <si>
    <t>镇岳巨熊</t>
  </si>
  <si>
    <t>灵泉鹿</t>
  </si>
  <si>
    <t>星垂兕</t>
  </si>
  <si>
    <t>净世白鹤</t>
  </si>
  <si>
    <t>幻海鲸</t>
  </si>
  <si>
    <t>xx</t>
  </si>
  <si>
    <t>标准被动（固定5）</t>
  </si>
  <si>
    <t>踏浪灵龟</t>
  </si>
  <si>
    <t>火</t>
  </si>
  <si>
    <t>烈焰猿</t>
  </si>
  <si>
    <t>烟横雉</t>
  </si>
  <si>
    <t>灼烧扩散：目标相邻1敌受50%灼烧伤害</t>
  </si>
  <si>
    <t>雪满犀</t>
  </si>
  <si>
    <t>金</t>
  </si>
  <si>
    <t>金猿</t>
  </si>
  <si>
    <t>狂血狼</t>
  </si>
  <si>
    <t>金翅鸟</t>
  </si>
  <si>
    <t>命中率+5%</t>
  </si>
  <si>
    <t>对闪避高于自身目标，命中率+8%</t>
  </si>
  <si>
    <t>裂地棕熊</t>
  </si>
  <si>
    <t>水</t>
  </si>
  <si>
    <t>水猿</t>
  </si>
  <si>
    <t>兰皋鹤</t>
  </si>
  <si>
    <t>铁甲犀牛</t>
  </si>
  <si>
    <t>水龟</t>
  </si>
  <si>
    <t>速度加成+6%</t>
  </si>
  <si>
    <t>开场全体敌方速度-5%，1回合</t>
  </si>
  <si>
    <t>闪避成功后，目标下回合无法获得速度加成且命中-10%</t>
  </si>
  <si>
    <t>桂魄狐</t>
  </si>
  <si>
    <t>幽谷青猿</t>
  </si>
  <si>
    <t>木</t>
  </si>
  <si>
    <t>啸风狼</t>
  </si>
  <si>
    <t>木兽</t>
  </si>
  <si>
    <t>对带治疗状态目标，伤害独立+8%</t>
  </si>
  <si>
    <t>撼地神牛</t>
  </si>
  <si>
    <t>土</t>
  </si>
  <si>
    <t>菊潭猿</t>
  </si>
  <si>
    <t>幽冥驹</t>
  </si>
  <si>
    <t>石犀</t>
  </si>
  <si>
    <t>反弹加成+8%</t>
  </si>
  <si>
    <t>护盾破碎后，反伤+10%，1回合</t>
  </si>
  <si>
    <t>梅岭獾</t>
  </si>
  <si>
    <t>沧浪鸥</t>
  </si>
  <si>
    <t>变异被动</t>
  </si>
  <si>
    <t>弱水凫</t>
  </si>
  <si>
    <t>对灼烧目标暴伤独立+10%</t>
  </si>
  <si>
    <t>闪避成功后，效果抵抗+15%（1回合）</t>
  </si>
  <si>
    <t>昆仑豹</t>
  </si>
  <si>
    <t>炽焰马</t>
  </si>
  <si>
    <t>对带破甲目标，伤害独立+8%</t>
  </si>
  <si>
    <t>蓬莱蟹</t>
  </si>
  <si>
    <t>熔岩巨龟</t>
  </si>
  <si>
    <t>控制成功后，下回合伤害独立+6%</t>
  </si>
  <si>
    <t>赤焰虎</t>
  </si>
  <si>
    <t>治疗溢出转4%最大气血护盾</t>
  </si>
  <si>
    <t>方壶鹿</t>
  </si>
  <si>
    <t>护盾存在时，反弹+15%</t>
  </si>
  <si>
    <t>槐安蝶</t>
  </si>
  <si>
    <t>紫电驹</t>
  </si>
  <si>
    <t>华胥鸾</t>
  </si>
  <si>
    <t>灵犀角</t>
  </si>
  <si>
    <t>赤城猿</t>
  </si>
  <si>
    <t>铁背苍狼</t>
  </si>
  <si>
    <t>紫微金狮</t>
  </si>
  <si>
    <t>玄冰灵蝎</t>
  </si>
  <si>
    <t>瑶台龙驹</t>
  </si>
  <si>
    <t>炎蹄仙马</t>
  </si>
  <si>
    <t>护盾破碎后，回复10%最大气血</t>
  </si>
  <si>
    <t>赤焰蛟龙</t>
  </si>
  <si>
    <t>寒潭虬龙</t>
  </si>
  <si>
    <t>核心被动</t>
  </si>
  <si>
    <t>种族能力</t>
  </si>
  <si>
    <t>特质</t>
  </si>
  <si>
    <t>单次受伤&gt;20%最大气血时，伤害-30%</t>
  </si>
  <si>
    <t>青冥玄鹤</t>
  </si>
  <si>
    <t>金环蟒蛇</t>
  </si>
  <si>
    <t>攻击灼烧目标，伤害独立+8%</t>
  </si>
  <si>
    <t>【每3回合】焚击：120%伤害并挂1层灼烧</t>
  </si>
  <si>
    <t>火攻+10%</t>
  </si>
  <si>
    <t>奔雷玄豹</t>
  </si>
  <si>
    <t>灼烧触发时50%扩散相邻（50%灼烧伤）</t>
  </si>
  <si>
    <t>命中后溅射+5%</t>
  </si>
  <si>
    <t>灼烧伤害+20%</t>
  </si>
  <si>
    <t>幽冥影狼</t>
  </si>
  <si>
    <t>焰狮</t>
  </si>
  <si>
    <t>暴击时挂1层灼烧（每回合≤2）</t>
  </si>
  <si>
    <t>傲雪神鹰</t>
  </si>
  <si>
    <t>攻击防御高于自身目标，独立+10%</t>
  </si>
  <si>
    <t>【每3回合】目标挂1层破甲（2回合）</t>
  </si>
  <si>
    <t>赤电霜蹄</t>
  </si>
  <si>
    <t>对闪避高于自身目标，命中+8%</t>
  </si>
  <si>
    <t>开场全体友方命中率+5%（2回合）</t>
  </si>
  <si>
    <t>赤羽火鸦</t>
  </si>
  <si>
    <t>星汉银龙</t>
  </si>
  <si>
    <t>白虎</t>
  </si>
  <si>
    <t>对带破甲目标，独立+8%</t>
  </si>
  <si>
    <t>【每3回合】下次攻击真伤率+20%</t>
  </si>
  <si>
    <t>萤辉精灵</t>
  </si>
  <si>
    <t>赤炎火凤</t>
  </si>
  <si>
    <t>对速度快于自身目标，控制成功+6%</t>
  </si>
  <si>
    <t>【每4回合】减速目标（速度-10%，1回合）</t>
  </si>
  <si>
    <t>控制成功+6%</t>
  </si>
  <si>
    <t>闪避成功后速度+5%，1回合，叠2</t>
  </si>
  <si>
    <t>闪避成功后，能量+5</t>
  </si>
  <si>
    <t>紫虚灵狐</t>
  </si>
  <si>
    <t>彩翼灵鸾</t>
  </si>
  <si>
    <t>开场全体敌方速度-5%（1回合）</t>
  </si>
  <si>
    <t>【每4回合】最低血友方获盾（8%最大气血）</t>
  </si>
  <si>
    <t>护盾存在时，反弹+10%</t>
  </si>
  <si>
    <t>暗影魔蛛</t>
  </si>
  <si>
    <t>回合结束自身气血&lt;50%，回复6%</t>
  </si>
  <si>
    <t>【每3回合】治疗最低血友方5%</t>
  </si>
  <si>
    <t>反击命中时吸血+10%</t>
  </si>
  <si>
    <t>战斗开始时获得10%最大气血护盾</t>
  </si>
  <si>
    <t>对带治疗状态目标，独立+8%</t>
  </si>
  <si>
    <t>【每4回合】目标禁疗（1回合，Boss抗性）</t>
  </si>
  <si>
    <t>豁免控制成功后回复3%最大气血</t>
  </si>
  <si>
    <t>【每4回合】全体友方获盾（5%最大气血）</t>
  </si>
  <si>
    <t>灼烧有25%概率延长1回合</t>
  </si>
  <si>
    <t>护盾破碎后，反伤+10%（1回合）</t>
  </si>
  <si>
    <t>【每4回合】全体80%伤害并减速-5（1回合）</t>
  </si>
  <si>
    <t>金乌（隐藏）</t>
  </si>
  <si>
    <t>灼烧层数上限+1，灼烧伤害+30%</t>
  </si>
  <si>
    <t>【每3回合】全体100%伤害+灼烧</t>
  </si>
  <si>
    <t>火攻+15%</t>
  </si>
  <si>
    <t>灵猴（隐藏）</t>
  </si>
  <si>
    <t>未击杀时独立+6%（叠3，击杀清零）</t>
  </si>
  <si>
    <t>击杀后下次伤害+10%</t>
  </si>
  <si>
    <t>速度+0.8/级</t>
  </si>
  <si>
    <t>王屋灵猿</t>
  </si>
  <si>
    <t>夜游神</t>
  </si>
  <si>
    <t>开场全体友方速度+3%（1回合）</t>
  </si>
  <si>
    <t>闪避率+5%</t>
  </si>
  <si>
    <t>玄龟</t>
  </si>
  <si>
    <t>【每4回合】全体护盾加成+15%（2回合）</t>
  </si>
  <si>
    <t>免伤率+5%</t>
  </si>
  <si>
    <t>冷香梅灵</t>
  </si>
  <si>
    <t>战虎</t>
  </si>
  <si>
    <t>被攻击后，反击率+8%（1回合）</t>
  </si>
  <si>
    <t>反击命中时回复3%最大气血</t>
  </si>
  <si>
    <t>反击率+6%</t>
  </si>
  <si>
    <t>白象</t>
  </si>
  <si>
    <t>控制豁免+8%，受控后获1回合免伤+10%</t>
  </si>
  <si>
    <t>【每5回合】净化全体1个减益</t>
  </si>
  <si>
    <t>火麒麟</t>
  </si>
  <si>
    <t>攻击灼烧目标，独立+6%</t>
  </si>
  <si>
    <t>暴击时25%挂灼烧</t>
  </si>
  <si>
    <t>火攻+8%</t>
  </si>
  <si>
    <t>云豹</t>
  </si>
  <si>
    <t>攻击暴露后排时，独立+8%</t>
  </si>
  <si>
    <t>开场全体暴击率+5%（1回合）</t>
  </si>
  <si>
    <t>青龙（隐藏）</t>
  </si>
  <si>
    <t>全体五行附加伤害+10%</t>
  </si>
  <si>
    <t>【每4回合】全体伤害加成+8%（1回合）</t>
  </si>
  <si>
    <t>五抗+10%</t>
  </si>
  <si>
    <t>万载雷鲛</t>
  </si>
  <si>
    <t>貔貅（隐藏）</t>
  </si>
  <si>
    <t>击杀时回复全队3%气血</t>
  </si>
  <si>
    <t>敌方获盾时，我方全体破盾伤害+10%</t>
  </si>
  <si>
    <t>根据您的要求，已将40个宠物的数据整理为表格格式（包含全部关键字段），如下所示：</t>
  </si>
  <si>
    <t>昆仑雪岭豹、天山冰池鹤、祁连荒漠狼、秦岭云雾猿、太行绝壁鹰、王屋仙洞蛇、峨眉金顶猴、青城幽谷鹿、</t>
  </si>
  <si>
    <t>| 编号 | 名称 | 品质 | 等级成长（攻/命/速） | 非基础主属性 | 品质附加 | 特性 | 功能 |</t>
  </si>
  <si>
    <t>太虚幻境凤</t>
  </si>
  <si>
    <t>|------|------|------|----------------------|--------------|----------|------|------|</t>
  </si>
  <si>
    <t>武当紫霄鹤、蓬莱仙岛龟、方丈神山狐、瀛洲碧海鲸、洞庭烟波鲤、鄱阳水泽雁、太湖明月螺、钱塘潮信蛟、沧海明月鲛、碧落黄泉蝶、紫府仙都鸾、</t>
  </si>
  <si>
    <t>| 1 | 苍梧青雀 | 品质1 | 攻+36 / 命+14 / 速+10 | 火攻+10% | 无 | 攻击灼烧目标时，伤害独立+5% | 火系灼烧输出 |</t>
  </si>
  <si>
    <t>| 2 | 赤霄猊 | 品质1 | 攻+36 / 命+14 / 速+10 | 暴击伤害+10% | 无 | 暴击后，目标防御-3%，持续1回合 | 暴伤破防 |</t>
  </si>
  <si>
    <t>| 3 | 玄霜月鹿 | 品质1 | 攻+20 / 命+30 / 速+10 | 控制命中+10% | 无 | 对速度高于自身的目标，控制成功率+6% | 高速目标控制 |</t>
  </si>
  <si>
    <t>| 4 | 云梦蛟 | 品质1 | 攻+20 / 命+30 / 速+10 | 效果命中+10% | 无 | 施加减速后，目标速度额外-5%，持续1回合 | 深度减速 |</t>
  </si>
  <si>
    <t>连击流坐骑（5）</t>
  </si>
  <si>
    <t>特性效果</t>
  </si>
  <si>
    <t>| 5 | 金风白鹤 | 品质1 | 攻+36 / 命+14 / 速+10 | 破甲+10% | 无 | 攻击防御高于自身的目标时，伤害独立+8% | 破坚输出 |</t>
  </si>
  <si>
    <t>特性名</t>
  </si>
  <si>
    <t>速度提升 10%，每次行动后获得 1 层「风势」，每层提升 2% 连击率，最多 5 层。</t>
  </si>
  <si>
    <t>| 6 | 紫电骅 | 品质1 | 攻+36 / 命+14 / 速+10 | 暴击率+10% | 无 | 目标气血高于80%时，暴击伤害+12% | 压制满血目标 |</t>
  </si>
  <si>
    <t>每次连击判定成功能量+2；连击段数≥4时额外+3</t>
  </si>
  <si>
    <t>每次触发连击后，自身攻击提升 3%，持续 2 回合，最多叠加 3 层。</t>
  </si>
  <si>
    <t>| 7 | 寒潭玉鲤 | 品质1 | 攻+20 / 命+30 / 速+10 | 命中率+10% | 无 | 攻击减速目标时，命中判定+6% | 稳定命中 |</t>
  </si>
  <si>
    <t>连击蓄势</t>
  </si>
  <si>
    <t>连击伤害系数提升 10%，且连击段数上限 +1（不超过战斗最大段数限制）。</t>
  </si>
  <si>
    <t>| 8 | 焚天猊 | 品质1 | 攻+36 / 命+14 / 速+10 | 易伤+10% | 无 | 攻击灼烧目标时，目标受到伤害+5% | 火系易伤 |</t>
  </si>
  <si>
    <t>破军连斩</t>
  </si>
  <si>
    <t>普攻有 15% 概率额外追加 1 次普攻（该追加可触发连击判定）。</t>
  </si>
  <si>
    <t>| 9 | 碧落瑶鸾 | 品质2 | 攻+32 / 命+12 / 速+12 | 治疗削减+8% | 攻击加成+4% | 攻击禁疗目标时，伤害+6% | 遏疗输出 |</t>
  </si>
  <si>
    <t>猛虎连扑</t>
  </si>
  <si>
    <t>连击时附带 20% 攻击力的雷属性伤害（若五行未启用则视为真实伤害），每次连击触发一次。</t>
  </si>
  <si>
    <t>| 10 | 幽篁蛇 | 品质2 | 攻+20 / 命+26 / 速+10 | 效果命中+8% | 命中加成+4% | 攻击缠绕目标时，伤害+6% | 藤缚输出 |</t>
  </si>
  <si>
    <t>雷霆连击</t>
  </si>
  <si>
    <t>| 11 | 青冥鹤 | 品质2 | 攻+20 / 命+26 / 速+10 | 命中率+8% | 命中加成+4% | 攻击破甲目标时，命中判定+6% | 破甲命中 |</t>
  </si>
  <si>
    <t>| 12 | 赤羽凤 | 品质2 | 攻+32 / 命+12 / 速+12 | 技能加成+8% | 攻击加成+4% | 大招命中后，目标火抗-5%，持续1回合 | 大招降抗 |</t>
  </si>
  <si>
    <t>暴伤流坐骑（5）</t>
  </si>
  <si>
    <t>| 13 | 玄冰鲤 | 品质2 | 攻+32 / 命+12 / 速+12 | 真伤率+8% | 攻击加成+4% | 攻击减速目标时，真伤率+5% | 冰系真伤 |</t>
  </si>
  <si>
    <t>暴击时额外造成 20% 攻击力的伤害，并对目标附加 1 层「灼烧」（每回合 10% 攻击伤害，持续 2 回合）。</t>
  </si>
  <si>
    <t>| 14 | 金铃鹿 | 品质2 | 攻+20 / 命+12 / 速+24 | 连击率+8% | 速度加成+4% | 连击成功后，下一段连击伤害+8% | 连击输出 |</t>
  </si>
  <si>
    <t>攻击破绽目标时，暴击伤害+5%/层</t>
  </si>
  <si>
    <t>烈阳暴击</t>
  </si>
  <si>
    <t>暴击伤害提升 15%，且暴击后自身攻击提升 5%，持续 1 回合。</t>
  </si>
  <si>
    <t>| 15 | 墨雨鲛 | 品质2 | 攻+20 / 命+26 / 速+10 | 效果命中+8% | 命中加成+4% | 施加减速后，目标受疗-8%，持续1回合 | 减速遏疗 |</t>
  </si>
  <si>
    <t>焚心暴伤</t>
  </si>
  <si>
    <t>攻击气血低于 30% 的目标时，暴击率提升 20%，暴击伤害提升 10%。</t>
  </si>
  <si>
    <t>| 16 | 天岚隼 | 品质2 | 攻+20 / 命+12 / 速+24 | 溅射+8% | 速度加成+4% | 普攻有15%概率对相邻目标造成10%溅射 | 清杂补刀 |</t>
  </si>
  <si>
    <t>赤焰斩杀</t>
  </si>
  <si>
    <t>每损失 10% 气血，暴击率提升 3%，暴击伤害提升 2%（生命越低伤害越高）。</t>
  </si>
  <si>
    <t>| 17 | 月照犀 | 品质2 | 攻+32 / 命+12 / 速+12 | 护盾削减+8% | 攻击加成+4% | 攻击护盾目标时，伤害+10% | 破盾压制 |</t>
  </si>
  <si>
    <t>狂暴血性</t>
  </si>
  <si>
    <t>暴击后自身速度提升 5%，持续 1 回合，并回复造成伤害 10% 的气血。</t>
  </si>
  <si>
    <t>| 18 | 星垂兕 | 品质2 | 攻+32 / 命+12 / 速+12 | 易伤+8% | 攻击加成+4% | 攻击重压目标时，伤害+6% | 重压输出 |</t>
  </si>
  <si>
    <t>炽热暴走</t>
  </si>
  <si>
    <t>| 19 | 风鸣鸟 | 品质2 | 攻+20 / 命+12 / 速+24 | 普攻加成+8% | 速度加成+4% | 普攻后，目标破甲+1层，最多2层 | 普攻削甲 |</t>
  </si>
  <si>
    <t>| 20 | 露冷蟾 | 品质2 | 攻+20 / 命+26 / 速+10 | 初始能量+8 | 命中加成+4% | 大招命中后，能量+5 | 大招回能 |</t>
  </si>
  <si>
    <t>护盾反伤流坐骑（5）</t>
  </si>
  <si>
    <t>| 21 | 烟横雉 | 品质3 | 攻+30 / 命+12 / 速+10 | 木攻+6% | 攻击加成+4%，攻击系数+4% | 敌方异常状态单位≥2时，玩家伤害+6% | 异常压制 |</t>
  </si>
  <si>
    <t>战斗开始时获得相当于最大气血 20% 的护盾，护盾存在期间免伤率提升 5%。</t>
  </si>
  <si>
    <t>| 22 | 雪满犀 | 品质3 | 攻+18 / 命+24 / 速+10 | 命中率+6% | 命中加成+4%，命中系数+4% | 对暴露后排目标伤害+8% | 暴露后排打击 |</t>
  </si>
  <si>
    <t>玄甲护体</t>
  </si>
  <si>
    <t>受到攻击时，反弹所受伤害的 15%（上限受反伤上限限制），且自身防御提升 2%，持续 2 回合，最多叠 3 层。</t>
  </si>
  <si>
    <t>| 23 | 松间麋 | 品质3 | 攻+18 / 命+24 / 速+10 | 治疗削减+6% | 命中加成+4%，命中系数+4% | 攻击受疗降低目标时，伤害+6% | 遏疗打击 |</t>
  </si>
  <si>
    <t>磐石反震</t>
  </si>
  <si>
    <t>护盾存在时，反伤效果提升 20%；护盾破碎时，立即对攻击者造成防御值 100% 的反伤伤害。</t>
  </si>
  <si>
    <t>| 24 | 竹里猱 | 品质3 | 攻+18 / 命+12 / 速+22 | 连击率+6% | 速度加成+4%，速度系数+4% | 连击成功后，下次普攻伤害+8% | 连击节奏 |</t>
  </si>
  <si>
    <t>铁壁荆棘</t>
  </si>
  <si>
    <t>受到近战攻击时，有 30% 概率触发「反冲」，对攻击者造成自身防御 150% 的伤害，并降低其 10% 攻击，持续 1 回合。</t>
  </si>
  <si>
    <t>| 25 | 兰皋鹤 | 品质3 | 攻+30 / 命+12 / 速+10 | 技能加成+6% | 攻击加成+4%，攻击系数+4% | 技能命中后，目标金抗-5%，持续1回合 | 金系降抗 |</t>
  </si>
  <si>
    <t>铁甲反冲</t>
  </si>
  <si>
    <t>每回合开始时，为气血最低的友方单位（含自身）附加最大气血 10% 的护盾，并使其免伤率提升 5%，持续 1 回合。</t>
  </si>
  <si>
    <t>| 26 | 桂魄狐 | 品质3 | 攻+30 / 命+12 / 速+10 | 暴击伤害+6% | 攻击加成+4%，攻击系数+4% | 暴击后，能量+3 | 暴击回能 |</t>
  </si>
  <si>
    <t>撼地守护</t>
  </si>
  <si>
    <t>| 27 | 桃夭鲤 | 品质3 | 攻+18 / 命+12 / 速+22 | 溅射+6% | 速度加成+4%，速度系数+4% | 溅射目标受到火系伤害+6% | 火系溅射 |</t>
  </si>
  <si>
    <t>| 28 | 荷露蛇 | 品质3 | 攻+18 / 命+24 / 速+10 | 效果命中+6% | 命中加成+4%，命中系数+4% | 施加缠绕时，目标速度-5%，持续1回合 | 缠绕减速 |</t>
  </si>
  <si>
    <t>闪避流坐骑（5）</t>
  </si>
  <si>
    <t>| 29 | 菊潭猿 | 品质3 | 攻+30 / 命+12 / 速+10 | 破甲+6% | 攻击加成+4%，攻击系数+4% | 攻击破甲目标时，真伤率+5% | 破甲真伤 |</t>
  </si>
  <si>
    <t>闪避率提升 5%，成功闪避后自身速度提升 8%，持续 1 回合。</t>
  </si>
  <si>
    <t>| 30 | 梅岭獾 | 品质3 | 攻+18 / 命+24 / 速+10 | 反伤削减+6% | 命中加成+4%，命中系数+4% | 攻击拥有反伤加成的目标时，伤害+8% | 压制反伤目标 |</t>
  </si>
  <si>
    <t>御风残影</t>
  </si>
  <si>
    <t>闪避后立即获得 1 层「残影」，每层提升 3% 闪避率和 3% 反击率，最多 3 层，受击后消耗 1 层。</t>
  </si>
  <si>
    <t>| 31 | 沧浪鸥 | 品质4 | 攻+28 / 命+10 / 速+10 | 伤害加成+6% | 攻击加成+4%，攻击系数+4%，最终攻击+2% | 对后排目标伤害+8% | 后排压制 |</t>
  </si>
  <si>
    <t>掠影无踪</t>
  </si>
  <si>
    <t>受到攻击时若触发闪避，有 50% 概率使攻击者命中率降低 10%，持续 1 回合。</t>
  </si>
  <si>
    <t>| 32 | 弱水凫 | 品质4 | 攻+16 / 命+22 / 速+10 | 护盾削减+6% | 命中加成+4%，命中系数+4%，最终命中+2% | 攻击护盾目标时，目标护盾加成-8%，持续1回合 | 破盾削弱 |</t>
  </si>
  <si>
    <t>雪影迷踪</t>
  </si>
  <si>
    <t>闪避后立即对攻击者发动一次反击，造成 50% 攻击力的伤害（每回合最多触发 2 次）。</t>
  </si>
  <si>
    <t>| 33 | 昆仑豹 | 品质4 | 攻+28 / 命+10 / 速+10 | 暴击率+6% | 攻击加成+4%，攻击系数+4%，最终攻击+2% | 暴击后，目标闪避-3%，持续1回合 | 暴击压闪 |</t>
  </si>
  <si>
    <t>惊雷闪避</t>
  </si>
  <si>
    <t>战斗开始时获得 2 层「月影」，每层提升 4% 闪避率；成功闪避后消耗 1 层并回复 5% 最大气血。</t>
  </si>
  <si>
    <t>| 34 | 蓬莱蟹 | 品质4 | 攻+16 / 命+22 / 速+10 | 治疗削减+6% | 命中加成+4%，命中系数+4%，最终命中+2% | 攻击受疗降低目标时，目标防御-5%，持续1回合 | 遏疗破防 |</t>
  </si>
  <si>
    <t>月影闪灵</t>
  </si>
  <si>
    <t>| 35 | 瀛洲蟾 | 品质4 | 攻+16 / 命+10 / 速+22 | 能量获取效率+6% | 速度加成+4%，速度系数+4%，最终速度+2% | 战斗开始时，能量+5 | 开局启动 |</t>
  </si>
  <si>
    <t>| 36 | 方壶鹿 | 品质4 | 攻+16 / 命+22 / 速+10 | 控制命中+6% | 命中加成+4%，命中系数+4%，最终命中+2% | 控制命中后，目标防御-5%，持续1回合 | 控场破防 |</t>
  </si>
  <si>
    <t>通用坐骑（5）</t>
  </si>
  <si>
    <t>| 37 | 槐安蝶 | 品质4 | 攻+16 / 命+22 / 速+10 | 效果命中+6% | 命中加成+4%，命中系数+4%，最终命中+2% | 施加减益后，目标命中-5%，持续1回合 | 减益干扰 |</t>
  </si>
  <si>
    <t>攻击和防御提升 5%，且每回合开始时 30% 概率获得 1 层「幻影」，闪避率提升 5% 直到回合结束。</t>
  </si>
  <si>
    <t>| 38 | 华胥鸾 | 品质4 | 攻+28 / 命+10 / 速+10 | 火攻+6% | 攻击加成+4%，攻击系数+4%，最终攻击+2% | 目标气血低于30%时，伤害独立+8% | 残血斩杀 |</t>
  </si>
  <si>
    <t>幻影之力</t>
  </si>
  <si>
    <t>速度提升 8%，且每次行动后若自身未受伤害，则回复最大气血 2%。</t>
  </si>
  <si>
    <t>| 39 | 广寒兔 | 品质4 | 攻+16 / 命+10 / 速+22 | 普攻加成+6% | 速度加成+4%，速度系数+4%，最终速度+2% | 普攻后，目标速度-5%，持续1回合 | 普攻缓速 |</t>
  </si>
  <si>
    <t>幽冥疾行</t>
  </si>
  <si>
    <t>全队命中率提升 5%，且自身效果抵抗提升 10%。</t>
  </si>
  <si>
    <t>| 40 | 赤城猿 | 品质4 | 攻+28 / 命+10 / 速+10 | 连击率+6% | 攻击加成+4%，攻击系数+4%，最终攻击+2% | 连击成功后，目标破甲+1层，最多2层 | 连击削甲 |</t>
  </si>
  <si>
    <t>灵犀赐福</t>
  </si>
  <si>
    <t>每回合开始时清除自身 1 个异常状态（灼烧/破甲/减速等），并回复 5% 最大气血。</t>
  </si>
  <si>
    <t>净世之羽</t>
  </si>
  <si>
    <t>气血上限提升 10%，且受到的单次伤害超过最大气血 25% 时，该伤害降低 15%。</t>
  </si>
  <si>
    <t>&gt; 说明：表格中“品质附加”列按原数据列出全部加成项；“等级成长”列同时给出了三项数值，便于查阅。所有宠物的总属性点均严格符合品质预算规则（品质1=40，品质2=40，品质3=40，品质4=40）。</t>
  </si>
  <si>
    <t>镇海之威</t>
  </si>
  <si>
    <t>每个流派10个特性</t>
  </si>
  <si>
    <t>公用20个特性</t>
  </si>
  <si>
    <t>每个流派核心特性5个</t>
  </si>
  <si>
    <t>偶数回合时宠物属性x2，奇数回合时宠物提供属性x0.5</t>
  </si>
  <si>
    <t>攻击时，10%防御附加为攻击，被攻击时，10%攻击附加为防御</t>
  </si>
  <si>
    <t>蓄势 战斗开始时，宠物属性降为基础值的60%；每回合开始时增加20%。</t>
  </si>
  <si>
    <t>特性等级  名称  出现条件  强度  数量</t>
  </si>
  <si>
    <t>普通  凡  品质1+  基准值1.0 30+</t>
  </si>
  <si>
    <t>稀有  灵  品质2+  基准值1.4 25+</t>
  </si>
  <si>
    <t>传说  仙  品质3+  基准值1.8 20+</t>
  </si>
  <si>
    <t>神赐  神  品质5 基准值2.4 15+</t>
  </si>
  <si>
    <t>榨取 造成的伤害会额外扣除目标1%最大气血（对Boss减半）</t>
  </si>
  <si>
    <t>血誓  气血每降低10%，免伤+1%（上限+10%）  越残越硬</t>
  </si>
  <si>
    <t>荆棘爆发  受到暴击时  反弹30%暴击伤害给攻击者 对暴伤流反制</t>
  </si>
  <si>
    <t>闪现  闪避成功后  反击目标一次  闪避=反击</t>
  </si>
  <si>
    <t>厚积  连续2回合未受伤害 获得10%最大气血护盾 防守转盾</t>
  </si>
  <si>
    <t>怒目  受击后  反击率+15%，持续1回合 受击=反击</t>
  </si>
  <si>
    <t>绝境  气血&lt;20%时  获得30%最大气血护盾（每场1次）  保命</t>
  </si>
  <si>
    <t>回天  气血&lt;30%时  回复15%最大气血，免伤+10%持续1回合  绝地回复</t>
  </si>
  <si>
    <t>铁壁  回合开始时若护盾存在  免伤+10%本回合  护盾联动</t>
  </si>
  <si>
    <t>净灵  受到控制后  清除自身1个减益，控制豁免+20%持续1回合  反控</t>
  </si>
  <si>
    <t>威压  敌方全体速度-5% 开局抢速</t>
  </si>
  <si>
    <t>鼓舞  己方全体攻击+4% 团队增益</t>
  </si>
  <si>
    <t>畏缩  敌方暴击率-5% 针对暴伤流</t>
  </si>
  <si>
    <t>迷雾  敌方命中率-6% 辅助闪避流</t>
  </si>
  <si>
    <t>破阵  敌方前排受伤害+5% 快速破前排</t>
  </si>
  <si>
    <t>护阵  己方后排受伤害-5% 保护后排</t>
  </si>
  <si>
    <t>天雷  每回合随机对1名敌人造成30%攻击伤害  额外输出</t>
  </si>
  <si>
    <t>地脉  每回合己方回复2%最大气血  团队续航</t>
  </si>
  <si>
    <t>连击判定失败时，25%概率重新判定</t>
  </si>
  <si>
    <t>连击伤害衰减-2%</t>
  </si>
  <si>
    <t>受到攻击时30%概率自动获得护盾（防御×1.5）</t>
  </si>
  <si>
    <t>闪避成功后对攻击者造成60%攻击真伤</t>
  </si>
  <si>
    <t>天资  资质上限+5% 稀有</t>
  </si>
  <si>
    <t>悟性  突破效果+20%  稀有</t>
  </si>
  <si>
    <t>灵性  灵契效果+20%  稀有</t>
  </si>
  <si>
    <t>神速  速度+3% 普通</t>
  </si>
  <si>
    <t>巨力  攻击+3% 普通</t>
  </si>
  <si>
    <t>强体  气血+3% 普通</t>
  </si>
  <si>
    <t>异能  机制特性效果+10%  稀有</t>
  </si>
  <si>
    <t>共鸣  灵契等级+1（上限3） 传说</t>
  </si>
  <si>
    <t>双生  可携带4条机制特性（仅品质5）  传说</t>
  </si>
  <si>
    <t>天赐  突破时额外解锁1条特性槽 传说</t>
  </si>
  <si>
    <t>战斗开始时能量+8，且首回合能量获取效率+30%</t>
  </si>
  <si>
    <t>品质  核心差异  玩家追求</t>
  </si>
  <si>
    <t>每回合行动后伤害+4%，最多叠3层，脱战重置</t>
  </si>
  <si>
    <t>1 凡品  1条机制特性 入门体验机制</t>
  </si>
  <si>
    <t>2 玄品  2条机制特性 开始组合</t>
  </si>
  <si>
    <t>3 地品  2条机制+1天赋 刷天赋</t>
  </si>
  <si>
    <t>4 天品  3条机制+灵契+1天赋  灵契+组合</t>
  </si>
  <si>
    <t>5 仙品  3条机制+灵契+天赋+神赐池  完整体+神赐</t>
  </si>
  <si>
    <t>金灵猴  暴伤无双  暴击伤害+15%，暴击时额外+3%最终伤害</t>
  </si>
  <si>
    <t>木灵鹿  连击大师  连击率+8%，连击伤害衰减-2%</t>
  </si>
  <si>
    <t>水灵蛟  疾风迅雷  速度+8%，首次行动提前12%</t>
  </si>
  <si>
    <t>火灵狐  嗜血狂战  吸血率+5%，气血&lt;30%时攻击+8%</t>
  </si>
  <si>
    <t>本回合最先行动时，获得8%最大气血护盾</t>
  </si>
  <si>
    <t>土灵熊  百步穿杨  命中+15%，真伤率+4%</t>
  </si>
  <si>
    <t>玄甲龟  金刚不坏  免伤率+5%，暴击抵抗+6%</t>
  </si>
  <si>
    <t>疾风马  虚影步  闪避成功后回复3%最大气血</t>
  </si>
  <si>
    <t>战虎  荆棘之甲  受到攻击反弹10%伤害</t>
  </si>
  <si>
    <t>白象  不动如山  防御+10%，普攻抵抗+6%</t>
  </si>
  <si>
    <t>磐石牛  生生不息  每回合回复3%最大气血</t>
  </si>
  <si>
    <t>护盾破碎后，回复12%最大气血</t>
  </si>
  <si>
    <t>技能击杀后  再次释放该技能，伤害为原80% 消耗15能量，每回合1次</t>
  </si>
  <si>
    <t>连击后速度加成+8% 到下回合结束（保留）</t>
  </si>
  <si>
    <t>x为等级</t>
  </si>
  <si>
    <t>持魔刀者催动手中刀势至顶峰，攻击时8%+X几率造成1.4倍伤害。</t>
  </si>
  <si>
    <t>持魔刀者挥刀蕴含魔气，每挥刀一次便会引魔气上身。普通攻击后有30%+X概率为自身添加一层「魔气」。</t>
  </si>
  <si>
    <t>此人常居僧厨，以擀面技悟棍棒术，枪棍威力提升5%。且因常处高温环境，练就一身钢筋铁骨，每损失1%血量，将提升自己0.8%的防御。</t>
  </si>
  <si>
    <t>此人打起架来似拼命三郎般，受到的伤越严重越能发挥出更高的实力，每损失1%的气血，将提升自己0.5%的攻击。</t>
  </si>
  <si>
    <t>完成忘忧村主线后会获得一张藏宝图，依据其上的提示可以去对应的坐标处搜索并且挖掘获得宝箱（直接挖也可以出不要浪费搜索体力）</t>
  </si>
  <si>
    <r>
      <rPr>
        <sz val="11"/>
        <color theme="1"/>
        <rFont val="宋体"/>
        <charset val="134"/>
        <scheme val="minor"/>
      </rPr>
      <t>可以获得：声望</t>
    </r>
    <r>
      <rPr>
        <i/>
        <sz val="12"/>
        <color rgb="FFD1D3DB"/>
        <rFont val="Consolas"/>
        <charset val="134"/>
      </rPr>
      <t>*5，500文，「碧灵丹」*</t>
    </r>
    <r>
      <rPr>
        <sz val="12"/>
        <color rgb="FFD1D3DB"/>
        <rFont val="Consolas"/>
        <charset val="134"/>
      </rPr>
      <t>3，「大经验丹」</t>
    </r>
    <r>
      <rPr>
        <i/>
        <sz val="12"/>
        <color rgb="FFD1D3DB"/>
        <rFont val="Consolas"/>
        <charset val="134"/>
      </rPr>
      <t>*1，「顺脉丹」*</t>
    </r>
    <r>
      <rPr>
        <sz val="12"/>
        <color rgb="FFD1D3DB"/>
        <rFont val="Consolas"/>
        <charset val="134"/>
      </rPr>
      <t>2，随机小资质丹*10，顺脉丹2</t>
    </r>
  </si>
  <si>
    <t>秘技效果</t>
  </si>
  <si>
    <t>每30级提升1%剑法威力</t>
  </si>
  <si>
    <t>每30级增加1身法</t>
  </si>
  <si>
    <t>练至300点时攻击可恢复伤害6%的气血</t>
  </si>
  <si>
    <t>练至300级时总效果：10%剑法威力+10身法+6%吸血</t>
  </si>
  <si>
    <t>每30级提升1%韧性</t>
  </si>
  <si>
    <t>每30级提升1%防御</t>
  </si>
  <si>
    <t>练至300点时提升混元内功气血16%</t>
  </si>
  <si>
    <t>练至300级时总效果：10%韧性+10%防御+使用混元内功气血额外提升16%</t>
  </si>
  <si>
    <t>每50点增加1%的免伤效果</t>
  </si>
  <si>
    <t>每15点增加1%的韧性加成</t>
  </si>
  <si>
    <t>练至300级时，战斗中可外放护体罡气吸收伤害</t>
  </si>
  <si>
    <t>【金钟罩】:获得最大气血22％的护盾，并提升600点韧性，10％防御，持续5回合。</t>
  </si>
  <si>
    <t>主角判出少林时，护盾效果降低至最大气血16％，400韧性。</t>
  </si>
  <si>
    <t>练至300级时总效果：6%免伤+20％韧性+自身最大血量22%的护盾，护盾存在期间增加600韧性和10％防御。</t>
  </si>
  <si>
    <t>活脉法</t>
  </si>
  <si>
    <t>活脉法可以调理气血,强身健骨。修习之人可以调理自身脉络,对行走江湖大有裨益。</t>
  </si>
  <si>
    <t>每50点提升1%的气血上限</t>
  </si>
  <si>
    <t>每60点提升1%的攻击力</t>
  </si>
  <si>
    <t>练至300级时总效果：6%气血上限+5%攻击力</t>
  </si>
  <si>
    <t>等级提升</t>
  </si>
  <si>
    <t>读书升级</t>
  </si>
  <si>
    <t>每30点提升1%的枪棍威力</t>
  </si>
  <si>
    <t>每60点提升1%的速度</t>
  </si>
  <si>
    <t>练至300级可增益团队3%的攻击与命中</t>
  </si>
  <si>
    <t>练至300级时总效果：10%枪棍威力+5%速度+增益团队3% 攻击和命中</t>
  </si>
  <si>
    <t>进入战斗时主角获得【合斗】效果</t>
  </si>
  <si>
    <t>【合斗】:队中所有人依战术之要则协助战斗，战斗能力提升，增加全体3％攻击，3％命中，持续永久。</t>
  </si>
  <si>
    <t>守御法乃是苍狼团斗术之一，其中涵盖军阵卫城驻地之防御准则，凭此技法协作御敌，在战斗可大获裨益。</t>
  </si>
  <si>
    <t>每30级提升1%的招架</t>
  </si>
  <si>
    <t>每60级提升1%的气血上限</t>
  </si>
  <si>
    <t>练至300级可增益团队3%的防御，提升团队韧性15%</t>
  </si>
  <si>
    <t>练至300级时总效果：10%招架+5%气血上限+增益团队3%的防御和15%韧性</t>
  </si>
  <si>
    <t>进入战斗时主角获得【守御】效果</t>
  </si>
  <si>
    <t>【守御】:队中所有人依战术之要则协助战斗，守御能力提升，增加全体3％防御，15％韧性，持续永久</t>
  </si>
  <si>
    <t>钢筋铁骨</t>
  </si>
  <si>
    <t>限制主角装备</t>
  </si>
  <si>
    <t>苍狼习武之人会捆千斤负重于身，以此让自己随时处于高压环境，并以此方法锤炼自身体魄。</t>
  </si>
  <si>
    <t>每15点提升1点根骨</t>
  </si>
  <si>
    <t>每30点提升1%的防御力</t>
  </si>
  <si>
    <t>练至300级时总效果：20点根骨+10%防御力</t>
  </si>
  <si>
    <t>装备该秘技和重甲后刷怪升级</t>
  </si>
  <si>
    <t>击杀敌人时，溢出伤害的30%转移至随机其他敌人</t>
  </si>
  <si>
    <t>溢出转移的伤害不触发暴击、不触发连击、不触发吸血，防止连环炸。</t>
  </si>
  <si>
    <t>攻击未命中时，获得+5%命中加成（可叠加，命中后清零）</t>
  </si>
  <si>
    <t>气血&lt;50%时，攻击+10%，防御-5%</t>
  </si>
  <si>
    <t>你的攻击附带目标已损失气血2%的伤害</t>
  </si>
  <si>
    <t>你的暴击伤害的10%会在下回合以真实伤害结算</t>
  </si>
  <si>
    <t>速度每高于目标10点，伤害+1%</t>
  </si>
  <si>
    <t>队友受到单体攻击时，你有15%概率替其承受该伤害</t>
  </si>
  <si>
    <t>队友受到致死伤害时，消耗自身20%最大气血，使该次伤害-50%</t>
  </si>
  <si>
    <t>受到暴击后，攻击方-8%暴击伤害（可叠加2层）</t>
  </si>
  <si>
    <t>自身未受伤害的回合结束，回复6%最大气血</t>
  </si>
  <si>
    <t>死亡时对攻击者造成80%防御的真实伤害</t>
  </si>
  <si>
    <t>不暴击时伤害+8%</t>
  </si>
  <si>
    <t>击杀敌人后，回复全队5%最大气血</t>
  </si>
  <si>
    <t>受到攻击时，给攻击者附加“印记”。满3层印记时，该敌人陷入眩晕1回合</t>
  </si>
  <si>
    <t>攻击者的速度低于你时，对方攻击你的伤害-8%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</si>
</sst>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222222"/>
      <name val="宋体"/>
      <charset val="134"/>
    </font>
    <font>
      <sz val="10"/>
      <color rgb="FFF2858C"/>
      <name val="Consola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2"/>
      <color rgb="FFD1D3DB"/>
      <name val="Consolas"/>
      <charset val="134"/>
    </font>
    <font>
      <sz val="12"/>
      <color rgb="FFD1D3DB"/>
      <name val="Consolas"/>
      <charset val="134"/>
    </font>
    <font>
      <sz val="12"/>
      <color rgb="FF222222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6"/>
  <sheetViews>
    <sheetView tabSelected="1" topLeftCell="A85" workbookViewId="0">
      <selection activeCell="C109" sqref="C109"/>
    </sheetView>
  </sheetViews>
  <sheetFormatPr defaultColWidth="9" defaultRowHeight="13.5"/>
  <cols>
    <col min="1" max="1" width="15.775" customWidth="1"/>
    <col min="3" max="3" width="40.8833333333333" customWidth="1"/>
    <col min="4" max="4" width="12.8833333333333" customWidth="1"/>
    <col min="5" max="5" width="10.6666666666667" customWidth="1"/>
    <col min="6" max="11" width="14.6666666666667" customWidth="1"/>
    <col min="12" max="12" width="12.6666666666667" customWidth="1"/>
    <col min="13" max="16" width="10.6666666666667" customWidth="1"/>
    <col min="17" max="17" width="23.6666666666667" customWidth="1"/>
    <col min="18" max="18" width="24.8833333333333" customWidth="1"/>
  </cols>
  <sheetData>
    <row r="1" spans="1:18">
      <c r="Q1" t="s">
        <v>0</v>
      </c>
      <c r="R1" t="s">
        <v>1</v>
      </c>
    </row>
    <row r="2" spans="1:18">
      <c r="A2" s="8" t="s">
        <v>2</v>
      </c>
      <c r="B2" s="8" t="s">
        <v>3</v>
      </c>
      <c r="C2" s="8" t="s">
        <v>4</v>
      </c>
      <c r="D2" s="8"/>
      <c r="E2" s="8"/>
      <c r="F2" s="8"/>
      <c r="G2" s="8"/>
      <c r="H2" s="8"/>
      <c r="Q2" t="s">
        <v>5</v>
      </c>
      <c r="R2" t="s">
        <v>6</v>
      </c>
    </row>
    <row r="3" spans="1:18">
      <c r="A3" s="8" t="s">
        <v>7</v>
      </c>
      <c r="B3" s="8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J3" s="12"/>
      <c r="Q3" t="s">
        <v>15</v>
      </c>
      <c r="R3" t="s">
        <v>16</v>
      </c>
    </row>
    <row r="4" spans="1:18">
      <c r="A4" s="8"/>
      <c r="B4" s="8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J4" s="12"/>
      <c r="Q4" t="s">
        <v>24</v>
      </c>
      <c r="R4" t="s">
        <v>25</v>
      </c>
    </row>
    <row r="5" spans="1:18">
      <c r="A5" s="8"/>
      <c r="B5" s="8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J5" s="12"/>
    </row>
    <row r="6" spans="1:18">
      <c r="A6" s="8"/>
      <c r="B6" s="8" t="s">
        <v>33</v>
      </c>
      <c r="C6" t="s">
        <v>34</v>
      </c>
      <c r="D6" t="s">
        <v>35</v>
      </c>
      <c r="J6" s="12"/>
      <c r="Q6" t="s">
        <v>36</v>
      </c>
      <c r="R6" t="s">
        <v>37</v>
      </c>
    </row>
    <row r="7" spans="1:18">
      <c r="A7" s="8"/>
      <c r="B7" s="8"/>
      <c r="J7" s="12"/>
      <c r="Q7" t="s">
        <v>38</v>
      </c>
      <c r="R7" t="s">
        <v>39</v>
      </c>
    </row>
    <row r="8" spans="1:18">
      <c r="A8" s="8" t="s">
        <v>40</v>
      </c>
      <c r="B8" s="8" t="s">
        <v>3</v>
      </c>
      <c r="C8" s="8" t="s">
        <v>4</v>
      </c>
      <c r="D8" s="8"/>
      <c r="E8" s="8"/>
      <c r="F8" s="8"/>
      <c r="G8" s="8"/>
      <c r="H8" s="8"/>
      <c r="J8" s="12"/>
      <c r="Q8" t="s">
        <v>41</v>
      </c>
      <c r="R8" t="s">
        <v>42</v>
      </c>
    </row>
    <row r="9" spans="1:18">
      <c r="A9" s="8" t="s">
        <v>43</v>
      </c>
      <c r="B9" s="8" t="s">
        <v>8</v>
      </c>
      <c r="C9" t="s">
        <v>44</v>
      </c>
      <c r="D9" t="s">
        <v>45</v>
      </c>
      <c r="F9" t="s">
        <v>46</v>
      </c>
      <c r="G9" t="s">
        <v>47</v>
      </c>
      <c r="H9" t="s">
        <v>48</v>
      </c>
      <c r="J9" s="12"/>
      <c r="Q9" t="s">
        <v>49</v>
      </c>
      <c r="R9" t="s">
        <v>50</v>
      </c>
    </row>
    <row r="10" spans="1:18">
      <c r="A10" s="8"/>
      <c r="B10" s="8" t="s">
        <v>17</v>
      </c>
      <c r="C10" t="s">
        <v>51</v>
      </c>
      <c r="D10" t="s">
        <v>52</v>
      </c>
      <c r="E10" t="s">
        <v>53</v>
      </c>
      <c r="J10" s="12"/>
      <c r="O10" s="16"/>
    </row>
    <row r="11" spans="1:18">
      <c r="A11" s="8"/>
      <c r="B11" s="8" t="s">
        <v>26</v>
      </c>
      <c r="C11" t="s">
        <v>54</v>
      </c>
      <c r="F11" t="s">
        <v>55</v>
      </c>
      <c r="G11" t="s">
        <v>56</v>
      </c>
      <c r="H11" t="s">
        <v>57</v>
      </c>
      <c r="J11" s="12"/>
      <c r="O11" s="16"/>
      <c r="Q11" t="s">
        <v>58</v>
      </c>
      <c r="R11" t="s">
        <v>59</v>
      </c>
    </row>
    <row r="12" spans="1:18">
      <c r="A12" s="8"/>
      <c r="B12" s="8" t="s">
        <v>33</v>
      </c>
      <c r="C12" t="s">
        <v>60</v>
      </c>
      <c r="J12" s="12"/>
      <c r="O12" s="16"/>
      <c r="Q12" t="s">
        <v>61</v>
      </c>
      <c r="R12" t="s">
        <v>62</v>
      </c>
    </row>
    <row r="13" spans="1:18">
      <c r="A13" s="8"/>
      <c r="B13" s="8"/>
      <c r="J13" s="12"/>
      <c r="O13" s="16"/>
    </row>
    <row r="14" spans="1:18">
      <c r="A14" s="8"/>
      <c r="B14" s="8"/>
      <c r="J14" s="12"/>
      <c r="O14" s="16"/>
      <c r="Q14" t="s">
        <v>63</v>
      </c>
      <c r="R14" t="s">
        <v>64</v>
      </c>
    </row>
    <row r="15" spans="1:18">
      <c r="A15" s="8" t="s">
        <v>65</v>
      </c>
      <c r="B15" s="8" t="s">
        <v>3</v>
      </c>
      <c r="C15" s="8" t="s">
        <v>4</v>
      </c>
      <c r="D15" s="8"/>
      <c r="E15" s="8"/>
      <c r="F15" s="8"/>
      <c r="G15" s="8"/>
      <c r="H15" s="8"/>
      <c r="J15" s="12"/>
      <c r="O15" s="16"/>
    </row>
    <row r="16" spans="1:18">
      <c r="A16" s="8" t="s">
        <v>66</v>
      </c>
      <c r="B16" s="8" t="s">
        <v>8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J16" s="12"/>
      <c r="Q16" t="s">
        <v>72</v>
      </c>
      <c r="R16" t="s">
        <v>73</v>
      </c>
    </row>
    <row r="17" spans="1:18">
      <c r="A17" s="8"/>
      <c r="B17" s="8" t="s">
        <v>17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s="12" t="s">
        <v>81</v>
      </c>
      <c r="K17" t="s">
        <v>82</v>
      </c>
      <c r="Q17" t="s">
        <v>83</v>
      </c>
      <c r="R17" t="s">
        <v>84</v>
      </c>
    </row>
    <row r="18" spans="1:18">
      <c r="A18" s="8"/>
      <c r="B18" s="8" t="s">
        <v>26</v>
      </c>
      <c r="C18" t="s">
        <v>85</v>
      </c>
      <c r="J18" s="12"/>
    </row>
    <row r="19" spans="1:18">
      <c r="A19" s="8"/>
      <c r="B19" s="8" t="s">
        <v>33</v>
      </c>
      <c r="C19" t="s">
        <v>86</v>
      </c>
      <c r="J19" s="12"/>
      <c r="Q19" t="s">
        <v>87</v>
      </c>
      <c r="R19" t="s">
        <v>88</v>
      </c>
    </row>
    <row r="20" spans="1:18">
      <c r="A20" s="8"/>
      <c r="B20" s="8"/>
      <c r="J20" s="12"/>
      <c r="Q20" t="s">
        <v>89</v>
      </c>
      <c r="R20" t="s">
        <v>90</v>
      </c>
    </row>
    <row r="21" spans="1:18">
      <c r="A21" s="8" t="s">
        <v>91</v>
      </c>
      <c r="B21" s="8" t="s">
        <v>3</v>
      </c>
      <c r="C21" s="8" t="s">
        <v>4</v>
      </c>
      <c r="D21" s="8"/>
      <c r="E21" s="8"/>
      <c r="F21" s="8"/>
      <c r="G21" s="8"/>
      <c r="H21" s="8"/>
      <c r="J21" s="12"/>
    </row>
    <row r="22" spans="1:18">
      <c r="A22" s="8" t="s">
        <v>92</v>
      </c>
      <c r="B22" s="8" t="s">
        <v>8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J22" s="12"/>
      <c r="Q22" t="s">
        <v>99</v>
      </c>
      <c r="R22" t="s">
        <v>100</v>
      </c>
    </row>
    <row r="23" spans="1:18">
      <c r="A23" s="8"/>
      <c r="B23" s="8" t="s">
        <v>17</v>
      </c>
      <c r="C23" t="s">
        <v>101</v>
      </c>
      <c r="D23" t="s">
        <v>102</v>
      </c>
      <c r="E23" t="s">
        <v>103</v>
      </c>
      <c r="F23" t="s">
        <v>104</v>
      </c>
      <c r="J23" s="12"/>
      <c r="Q23" t="s">
        <v>105</v>
      </c>
      <c r="R23" t="s">
        <v>106</v>
      </c>
    </row>
    <row r="24" spans="1:18">
      <c r="A24" s="8"/>
      <c r="B24" s="8"/>
      <c r="J24" s="12"/>
    </row>
    <row r="25" spans="1:18">
      <c r="A25" s="8" t="s">
        <v>107</v>
      </c>
      <c r="B25" s="8" t="s">
        <v>3</v>
      </c>
      <c r="C25" t="s">
        <v>4</v>
      </c>
      <c r="J25" s="12"/>
    </row>
    <row r="26" spans="1:18">
      <c r="A26" s="8" t="s">
        <v>108</v>
      </c>
      <c r="B26" s="8" t="s">
        <v>8</v>
      </c>
      <c r="C26" t="s">
        <v>47</v>
      </c>
      <c r="D26" t="s">
        <v>109</v>
      </c>
      <c r="E26" t="s">
        <v>110</v>
      </c>
      <c r="J26" s="12"/>
    </row>
    <row r="27" spans="1:18">
      <c r="A27" s="8"/>
      <c r="B27" s="8" t="s">
        <v>17</v>
      </c>
      <c r="C27" t="s">
        <v>111</v>
      </c>
      <c r="D27" t="s">
        <v>112</v>
      </c>
      <c r="E27" t="s">
        <v>113</v>
      </c>
      <c r="F27" t="s">
        <v>114</v>
      </c>
      <c r="J27" s="12"/>
    </row>
    <row r="28" spans="1:18">
      <c r="A28" s="8"/>
      <c r="B28" s="8"/>
      <c r="C28" s="8"/>
      <c r="D28" s="8"/>
      <c r="E28" s="8"/>
      <c r="F28" s="8"/>
      <c r="G28" s="8"/>
      <c r="H28" s="8"/>
      <c r="J28" s="12"/>
    </row>
    <row r="29" spans="1:18">
      <c r="A29" s="8"/>
      <c r="B29" s="8"/>
      <c r="J29" s="12"/>
    </row>
    <row r="30" spans="1:18">
      <c r="A30" s="8"/>
      <c r="B30" s="8"/>
      <c r="J30" s="12"/>
    </row>
    <row r="31" spans="1:18">
      <c r="A31" s="8" t="s">
        <v>115</v>
      </c>
      <c r="B31" s="8" t="s">
        <v>3</v>
      </c>
      <c r="C31" s="8" t="s">
        <v>4</v>
      </c>
      <c r="D31" s="8"/>
      <c r="E31" s="8"/>
      <c r="F31" s="8"/>
      <c r="G31" s="8"/>
      <c r="H31" s="8"/>
      <c r="J31" s="12"/>
    </row>
    <row r="32" spans="1:18">
      <c r="A32" s="8" t="s">
        <v>116</v>
      </c>
      <c r="B32" s="8" t="s">
        <v>8</v>
      </c>
      <c r="C32" t="s">
        <v>117</v>
      </c>
      <c r="D32" t="s">
        <v>118</v>
      </c>
      <c r="E32" t="s">
        <v>119</v>
      </c>
      <c r="F32" t="s">
        <v>120</v>
      </c>
      <c r="J32" s="12"/>
    </row>
    <row r="33" spans="1:23">
      <c r="A33" s="8"/>
      <c r="B33" s="8"/>
      <c r="C33" t="s">
        <v>121</v>
      </c>
      <c r="D33" t="s">
        <v>122</v>
      </c>
      <c r="E33" t="s">
        <v>123</v>
      </c>
      <c r="F33" t="s">
        <v>124</v>
      </c>
      <c r="J33" s="12"/>
    </row>
    <row r="34" spans="1:23">
      <c r="A34" s="8"/>
      <c r="B34" s="8"/>
      <c r="C34" t="s">
        <v>125</v>
      </c>
      <c r="D34" t="s">
        <v>126</v>
      </c>
      <c r="J34" s="12"/>
    </row>
    <row r="35" spans="1:23">
      <c r="A35" s="8"/>
      <c r="B35" s="8"/>
      <c r="J35" s="12"/>
      <c r="N35" s="12"/>
      <c r="W35" s="12"/>
    </row>
    <row r="36" spans="1:23">
      <c r="J36" s="12"/>
      <c r="N36" s="12"/>
      <c r="W36" s="12"/>
    </row>
    <row r="37" spans="1:23">
      <c r="A37" t="s">
        <v>4</v>
      </c>
      <c r="B37" t="s">
        <v>127</v>
      </c>
      <c r="C37" t="s">
        <v>128</v>
      </c>
      <c r="D37" t="s">
        <v>129</v>
      </c>
      <c r="E37" t="s">
        <v>130</v>
      </c>
      <c r="F37" t="s">
        <v>131</v>
      </c>
      <c r="G37" t="s">
        <v>132</v>
      </c>
      <c r="L37" s="12"/>
      <c r="O37" s="12"/>
      <c r="W37" s="12"/>
    </row>
    <row r="38" spans="1:23">
      <c r="A38" t="s">
        <v>9</v>
      </c>
      <c r="B38" t="s">
        <v>133</v>
      </c>
      <c r="C38" t="s">
        <v>134</v>
      </c>
      <c r="D38">
        <v>0.17</v>
      </c>
      <c r="L38" s="12"/>
      <c r="O38" s="12"/>
      <c r="W38" s="12"/>
    </row>
    <row r="39" spans="1:23">
      <c r="A39" t="s">
        <v>10</v>
      </c>
      <c r="B39" t="s">
        <v>133</v>
      </c>
      <c r="C39" t="s">
        <v>135</v>
      </c>
      <c r="D39">
        <v>1</v>
      </c>
      <c r="L39" s="12"/>
      <c r="O39" s="12"/>
      <c r="W39" s="12"/>
    </row>
    <row r="40" spans="1:23">
      <c r="A40" t="s">
        <v>11</v>
      </c>
      <c r="B40" t="s">
        <v>133</v>
      </c>
      <c r="C40" t="s">
        <v>136</v>
      </c>
      <c r="D40">
        <v>1</v>
      </c>
      <c r="L40" s="12"/>
      <c r="O40" s="12"/>
      <c r="W40" s="12"/>
    </row>
    <row r="41" spans="1:23">
      <c r="A41" t="s">
        <v>12</v>
      </c>
      <c r="B41" t="s">
        <v>133</v>
      </c>
      <c r="C41" t="s">
        <v>137</v>
      </c>
      <c r="D41">
        <v>1</v>
      </c>
      <c r="L41" s="12"/>
      <c r="O41" s="12"/>
      <c r="W41" s="12"/>
    </row>
    <row r="42" spans="1:23">
      <c r="A42" t="s">
        <v>13</v>
      </c>
      <c r="B42" t="s">
        <v>133</v>
      </c>
      <c r="C42" t="s">
        <v>138</v>
      </c>
      <c r="D42">
        <v>1</v>
      </c>
      <c r="L42" s="12"/>
      <c r="O42" s="12"/>
      <c r="W42" s="12"/>
    </row>
    <row r="43" spans="1:23">
      <c r="A43" t="s">
        <v>14</v>
      </c>
      <c r="B43" t="s">
        <v>133</v>
      </c>
      <c r="C43" t="s">
        <v>139</v>
      </c>
      <c r="D43">
        <v>1</v>
      </c>
      <c r="O43" s="12"/>
      <c r="W43" s="12"/>
    </row>
    <row r="44" spans="1:23">
      <c r="A44" t="s">
        <v>18</v>
      </c>
      <c r="B44" t="s">
        <v>140</v>
      </c>
      <c r="C44" t="s">
        <v>141</v>
      </c>
      <c r="D44">
        <v>1.5</v>
      </c>
      <c r="E44" s="7">
        <v>1</v>
      </c>
      <c r="L44" t="s">
        <v>142</v>
      </c>
      <c r="O44" s="12"/>
      <c r="W44" s="12"/>
    </row>
    <row r="45" spans="1:23">
      <c r="A45" t="s">
        <v>19</v>
      </c>
      <c r="B45" t="s">
        <v>140</v>
      </c>
      <c r="C45" t="s">
        <v>143</v>
      </c>
      <c r="D45">
        <v>3</v>
      </c>
      <c r="E45" s="7">
        <v>1</v>
      </c>
      <c r="L45" t="s">
        <v>142</v>
      </c>
      <c r="O45" s="12"/>
      <c r="W45" s="12"/>
    </row>
    <row r="46" spans="1:23">
      <c r="A46" t="s">
        <v>20</v>
      </c>
      <c r="B46" t="s">
        <v>140</v>
      </c>
      <c r="C46" t="s">
        <v>144</v>
      </c>
      <c r="D46">
        <v>3</v>
      </c>
      <c r="E46" s="7">
        <v>1</v>
      </c>
      <c r="L46" t="s">
        <v>142</v>
      </c>
      <c r="O46" s="12"/>
      <c r="W46" s="12"/>
    </row>
    <row r="47" spans="1:23">
      <c r="A47" t="s">
        <v>21</v>
      </c>
      <c r="B47" t="s">
        <v>140</v>
      </c>
      <c r="C47" t="s">
        <v>145</v>
      </c>
      <c r="D47">
        <v>3</v>
      </c>
      <c r="E47" s="7">
        <v>1</v>
      </c>
      <c r="L47" t="s">
        <v>142</v>
      </c>
      <c r="O47" s="12"/>
      <c r="W47" s="12"/>
    </row>
    <row r="48" spans="1:23">
      <c r="A48" t="s">
        <v>22</v>
      </c>
      <c r="B48" t="s">
        <v>140</v>
      </c>
      <c r="C48" t="s">
        <v>146</v>
      </c>
      <c r="D48">
        <v>3</v>
      </c>
      <c r="E48" s="7">
        <v>1</v>
      </c>
      <c r="L48" t="s">
        <v>142</v>
      </c>
      <c r="O48" s="12"/>
      <c r="W48" s="12"/>
    </row>
    <row r="49" spans="1:23">
      <c r="A49" t="s">
        <v>23</v>
      </c>
      <c r="B49" t="s">
        <v>140</v>
      </c>
      <c r="C49" t="s">
        <v>147</v>
      </c>
      <c r="D49">
        <v>3</v>
      </c>
      <c r="E49" s="7">
        <v>1</v>
      </c>
      <c r="L49" t="s">
        <v>142</v>
      </c>
      <c r="O49" s="12"/>
      <c r="W49" s="12"/>
    </row>
    <row r="50" spans="1:23">
      <c r="A50" t="s">
        <v>27</v>
      </c>
      <c r="B50" t="s">
        <v>140</v>
      </c>
      <c r="C50" t="s">
        <v>148</v>
      </c>
      <c r="D50">
        <v>2.25</v>
      </c>
      <c r="E50" s="7">
        <v>0.6</v>
      </c>
      <c r="L50" t="s">
        <v>149</v>
      </c>
      <c r="O50" s="12"/>
      <c r="W50" s="12"/>
    </row>
    <row r="51" spans="1:23">
      <c r="A51" t="s">
        <v>28</v>
      </c>
      <c r="B51" t="s">
        <v>140</v>
      </c>
      <c r="C51" t="s">
        <v>150</v>
      </c>
      <c r="D51">
        <v>4.5</v>
      </c>
      <c r="E51" s="7">
        <v>0.6</v>
      </c>
      <c r="L51" t="s">
        <v>149</v>
      </c>
      <c r="O51" s="12"/>
      <c r="W51" s="12"/>
    </row>
    <row r="52" spans="1:23">
      <c r="A52" t="s">
        <v>29</v>
      </c>
      <c r="B52" t="s">
        <v>140</v>
      </c>
      <c r="C52" t="s">
        <v>151</v>
      </c>
      <c r="D52">
        <v>4.5</v>
      </c>
      <c r="E52" s="7">
        <v>0.6</v>
      </c>
      <c r="L52" t="s">
        <v>149</v>
      </c>
      <c r="O52" s="12"/>
      <c r="W52" s="12"/>
    </row>
    <row r="53" spans="1:23">
      <c r="A53" t="s">
        <v>30</v>
      </c>
      <c r="B53" t="s">
        <v>140</v>
      </c>
      <c r="C53" t="s">
        <v>152</v>
      </c>
      <c r="D53">
        <v>4.5</v>
      </c>
      <c r="E53" s="7">
        <v>0.6</v>
      </c>
      <c r="L53" t="s">
        <v>149</v>
      </c>
      <c r="O53" s="12"/>
      <c r="W53" s="12"/>
    </row>
    <row r="54" spans="1:23">
      <c r="A54" t="s">
        <v>31</v>
      </c>
      <c r="B54" t="s">
        <v>140</v>
      </c>
      <c r="C54" t="s">
        <v>153</v>
      </c>
      <c r="D54">
        <v>4.5</v>
      </c>
      <c r="E54" s="7">
        <v>0.6</v>
      </c>
      <c r="L54" t="s">
        <v>149</v>
      </c>
      <c r="O54" s="12"/>
      <c r="W54" s="12"/>
    </row>
    <row r="55" spans="1:23">
      <c r="A55" t="s">
        <v>32</v>
      </c>
      <c r="B55" t="s">
        <v>140</v>
      </c>
      <c r="C55" t="s">
        <v>154</v>
      </c>
      <c r="D55">
        <v>4.5</v>
      </c>
      <c r="E55" s="7">
        <v>0.6</v>
      </c>
      <c r="L55" t="s">
        <v>149</v>
      </c>
      <c r="O55" s="12"/>
      <c r="W55" s="12"/>
    </row>
    <row r="56" spans="1:23">
      <c r="A56" t="s">
        <v>34</v>
      </c>
      <c r="B56" t="s">
        <v>140</v>
      </c>
      <c r="C56" t="s">
        <v>155</v>
      </c>
      <c r="D56">
        <v>6</v>
      </c>
      <c r="E56" s="7">
        <v>0.6</v>
      </c>
      <c r="L56" t="s">
        <v>156</v>
      </c>
      <c r="O56" s="12"/>
    </row>
    <row r="57" spans="1:23">
      <c r="A57" t="s">
        <v>35</v>
      </c>
      <c r="B57" t="s">
        <v>140</v>
      </c>
      <c r="C57" t="s">
        <v>157</v>
      </c>
      <c r="D57">
        <v>6</v>
      </c>
      <c r="E57" s="7">
        <v>0.6</v>
      </c>
      <c r="L57" t="s">
        <v>156</v>
      </c>
      <c r="O57" s="12"/>
      <c r="W57" s="12"/>
    </row>
    <row r="58" spans="1:23">
      <c r="A58" t="s">
        <v>44</v>
      </c>
      <c r="B58" t="s">
        <v>140</v>
      </c>
      <c r="C58" t="s">
        <v>158</v>
      </c>
      <c r="D58">
        <v>2</v>
      </c>
      <c r="E58" s="7">
        <v>1</v>
      </c>
      <c r="F58" t="s">
        <v>159</v>
      </c>
      <c r="G58" t="s">
        <v>160</v>
      </c>
      <c r="H58" t="s">
        <v>161</v>
      </c>
      <c r="I58" t="s">
        <v>162</v>
      </c>
      <c r="L58" s="12" t="s">
        <v>163</v>
      </c>
      <c r="M58" t="s">
        <v>164</v>
      </c>
      <c r="O58" s="12"/>
      <c r="W58" s="12"/>
    </row>
    <row r="59" spans="1:23">
      <c r="A59" t="s">
        <v>45</v>
      </c>
      <c r="B59" t="s">
        <v>140</v>
      </c>
      <c r="C59" t="s">
        <v>165</v>
      </c>
      <c r="D59">
        <v>1</v>
      </c>
      <c r="E59" s="7">
        <v>3</v>
      </c>
      <c r="F59" t="s">
        <v>159</v>
      </c>
      <c r="G59" t="s">
        <v>160</v>
      </c>
      <c r="H59" t="s">
        <v>161</v>
      </c>
      <c r="J59" t="s">
        <v>166</v>
      </c>
      <c r="L59" s="12"/>
      <c r="O59" s="12"/>
      <c r="W59" s="12"/>
    </row>
    <row r="60" spans="1:23">
      <c r="A60" t="s">
        <v>46</v>
      </c>
      <c r="B60" t="s">
        <v>140</v>
      </c>
      <c r="C60" t="s">
        <v>167</v>
      </c>
      <c r="D60">
        <v>1.5</v>
      </c>
      <c r="E60" s="7">
        <v>1.2</v>
      </c>
      <c r="F60" t="s">
        <v>168</v>
      </c>
      <c r="G60" t="s">
        <v>169</v>
      </c>
      <c r="H60" t="s">
        <v>170</v>
      </c>
      <c r="I60" t="s">
        <v>160</v>
      </c>
      <c r="J60" t="s">
        <v>162</v>
      </c>
      <c r="L60" s="12"/>
      <c r="O60" s="12"/>
      <c r="W60" s="12"/>
    </row>
    <row r="61" spans="1:23">
      <c r="A61" t="s">
        <v>55</v>
      </c>
      <c r="B61" t="s">
        <v>140</v>
      </c>
      <c r="C61" t="s">
        <v>171</v>
      </c>
      <c r="D61">
        <v>2</v>
      </c>
      <c r="E61" s="7">
        <v>1.5</v>
      </c>
      <c r="L61" s="12"/>
      <c r="O61" s="12"/>
      <c r="W61" s="12"/>
    </row>
    <row r="62" spans="1:23">
      <c r="A62" t="s">
        <v>172</v>
      </c>
      <c r="B62" t="s">
        <v>140</v>
      </c>
      <c r="C62" t="s">
        <v>173</v>
      </c>
      <c r="D62">
        <v>2</v>
      </c>
      <c r="E62" s="7">
        <v>1</v>
      </c>
      <c r="F62" t="s">
        <v>168</v>
      </c>
      <c r="G62" t="s">
        <v>169</v>
      </c>
      <c r="H62" t="s">
        <v>170</v>
      </c>
      <c r="I62" t="s">
        <v>160</v>
      </c>
      <c r="J62" t="s">
        <v>162</v>
      </c>
      <c r="L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>
      <c r="A63" t="s">
        <v>56</v>
      </c>
      <c r="B63" t="s">
        <v>140</v>
      </c>
      <c r="C63" t="s">
        <v>174</v>
      </c>
      <c r="D63">
        <v>1.8</v>
      </c>
      <c r="E63" s="7">
        <v>1.5</v>
      </c>
      <c r="J63" t="s">
        <v>166</v>
      </c>
      <c r="L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>
      <c r="A64" t="s">
        <v>48</v>
      </c>
      <c r="B64" t="s">
        <v>140</v>
      </c>
      <c r="C64" t="s">
        <v>175</v>
      </c>
      <c r="D64">
        <v>1.2</v>
      </c>
      <c r="E64" s="7">
        <v>0.8</v>
      </c>
      <c r="F64" t="s">
        <v>168</v>
      </c>
      <c r="G64" t="s">
        <v>169</v>
      </c>
      <c r="H64" t="s">
        <v>170</v>
      </c>
      <c r="I64" t="s">
        <v>160</v>
      </c>
      <c r="J64" t="s">
        <v>162</v>
      </c>
      <c r="L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>
      <c r="A65" t="s">
        <v>176</v>
      </c>
      <c r="B65" t="s">
        <v>140</v>
      </c>
      <c r="C65" t="s">
        <v>177</v>
      </c>
      <c r="D65">
        <v>1</v>
      </c>
      <c r="E65" s="7">
        <v>1.5</v>
      </c>
      <c r="L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>
      <c r="A66" t="s">
        <v>51</v>
      </c>
      <c r="B66" t="s">
        <v>140</v>
      </c>
      <c r="C66" t="s">
        <v>178</v>
      </c>
      <c r="D66">
        <v>4</v>
      </c>
      <c r="E66" s="7">
        <v>1.5</v>
      </c>
      <c r="L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>
      <c r="A67" t="s">
        <v>52</v>
      </c>
      <c r="B67" t="s">
        <v>140</v>
      </c>
      <c r="C67" t="s">
        <v>179</v>
      </c>
      <c r="D67">
        <v>2</v>
      </c>
      <c r="E67" s="7">
        <v>1</v>
      </c>
      <c r="J67" t="s">
        <v>180</v>
      </c>
      <c r="L67" s="12"/>
      <c r="P67" s="12"/>
      <c r="Q67" s="12"/>
      <c r="R67" s="12"/>
      <c r="S67" s="12"/>
      <c r="T67" s="12"/>
      <c r="U67" s="12"/>
      <c r="V67" s="12"/>
      <c r="W67" s="12"/>
    </row>
    <row r="68" spans="1:23">
      <c r="A68" t="s">
        <v>53</v>
      </c>
      <c r="B68" t="s">
        <v>140</v>
      </c>
      <c r="C68" t="s">
        <v>181</v>
      </c>
      <c r="D68">
        <v>2.5</v>
      </c>
      <c r="E68" s="7">
        <v>0.5</v>
      </c>
      <c r="P68" s="12"/>
      <c r="Q68" s="12"/>
      <c r="R68" s="12"/>
      <c r="S68" s="12"/>
      <c r="T68" s="12"/>
      <c r="U68" s="12"/>
      <c r="V68" s="12"/>
      <c r="W68" s="12"/>
    </row>
    <row r="69" spans="1:23">
      <c r="A69" t="s">
        <v>54</v>
      </c>
      <c r="B69" t="s">
        <v>140</v>
      </c>
      <c r="C69" t="s">
        <v>182</v>
      </c>
      <c r="D69">
        <v>6</v>
      </c>
      <c r="E69" s="7">
        <v>1.5</v>
      </c>
    </row>
    <row r="70" spans="1:23">
      <c r="A70" t="s">
        <v>60</v>
      </c>
      <c r="B70" t="s">
        <v>140</v>
      </c>
      <c r="C70" t="s">
        <v>183</v>
      </c>
      <c r="D70">
        <v>10</v>
      </c>
      <c r="E70" s="7">
        <v>1.5</v>
      </c>
      <c r="P70" s="8"/>
      <c r="Q70" s="8"/>
      <c r="R70" s="8"/>
      <c r="S70" s="8"/>
      <c r="T70" s="8"/>
      <c r="U70" s="8"/>
    </row>
    <row r="71" spans="1:23">
      <c r="A71" t="s">
        <v>67</v>
      </c>
      <c r="B71" t="s">
        <v>133</v>
      </c>
      <c r="C71" t="s">
        <v>184</v>
      </c>
      <c r="D71">
        <v>0.2</v>
      </c>
      <c r="P71" s="17"/>
      <c r="Q71" s="17"/>
      <c r="R71" s="17"/>
      <c r="S71" s="17"/>
      <c r="T71" s="17"/>
    </row>
    <row r="72" spans="1:23">
      <c r="A72" t="s">
        <v>68</v>
      </c>
      <c r="B72" t="s">
        <v>140</v>
      </c>
      <c r="C72" t="s">
        <v>185</v>
      </c>
      <c r="D72">
        <v>4</v>
      </c>
      <c r="E72" s="7">
        <v>0.7</v>
      </c>
    </row>
    <row r="73" spans="1:23">
      <c r="A73" t="s">
        <v>69</v>
      </c>
      <c r="B73" t="s">
        <v>140</v>
      </c>
      <c r="C73" t="s">
        <v>186</v>
      </c>
      <c r="D73">
        <v>1.5</v>
      </c>
      <c r="E73" s="7">
        <v>0.7</v>
      </c>
    </row>
    <row r="74" spans="1:23">
      <c r="A74" t="s">
        <v>70</v>
      </c>
      <c r="B74" t="s">
        <v>140</v>
      </c>
      <c r="C74" t="s">
        <v>187</v>
      </c>
      <c r="D74">
        <v>3</v>
      </c>
      <c r="E74" s="7">
        <v>0.2</v>
      </c>
    </row>
    <row r="75" spans="1:23">
      <c r="A75" t="s">
        <v>71</v>
      </c>
      <c r="B75" t="s">
        <v>133</v>
      </c>
      <c r="C75" t="s">
        <v>188</v>
      </c>
      <c r="D75">
        <v>0.3</v>
      </c>
      <c r="E75">
        <v>500</v>
      </c>
    </row>
    <row r="76" spans="1:23">
      <c r="A76" t="s">
        <v>85</v>
      </c>
      <c r="B76" t="s">
        <v>140</v>
      </c>
      <c r="C76" t="s">
        <v>189</v>
      </c>
      <c r="D76">
        <v>2</v>
      </c>
      <c r="E76" s="7">
        <v>0.8</v>
      </c>
    </row>
    <row r="77" spans="1:23">
      <c r="A77" t="s">
        <v>86</v>
      </c>
      <c r="B77" t="s">
        <v>140</v>
      </c>
      <c r="C77" t="s">
        <v>190</v>
      </c>
      <c r="D77">
        <v>8</v>
      </c>
      <c r="E77" s="7">
        <v>0.4</v>
      </c>
      <c r="F77" t="s">
        <v>191</v>
      </c>
      <c r="H77" t="s">
        <v>192</v>
      </c>
      <c r="I77" t="s">
        <v>193</v>
      </c>
      <c r="J77" t="s">
        <v>194</v>
      </c>
    </row>
    <row r="78" spans="1:23">
      <c r="A78" t="s">
        <v>74</v>
      </c>
      <c r="B78" t="s">
        <v>140</v>
      </c>
      <c r="C78" t="s">
        <v>195</v>
      </c>
      <c r="D78">
        <v>3</v>
      </c>
      <c r="E78" s="7">
        <v>0.8</v>
      </c>
      <c r="F78" t="s">
        <v>196</v>
      </c>
      <c r="G78" t="s">
        <v>197</v>
      </c>
      <c r="H78" t="s">
        <v>198</v>
      </c>
      <c r="I78" t="s">
        <v>199</v>
      </c>
      <c r="P78" s="8"/>
      <c r="Q78" s="8"/>
      <c r="R78" s="8"/>
      <c r="S78" s="8"/>
      <c r="T78" s="8"/>
      <c r="U78" s="8"/>
    </row>
    <row r="79" spans="1:23">
      <c r="A79" t="s">
        <v>75</v>
      </c>
      <c r="B79" t="s">
        <v>140</v>
      </c>
      <c r="C79" t="s">
        <v>200</v>
      </c>
      <c r="D79">
        <v>3</v>
      </c>
      <c r="E79" s="7">
        <v>0.8</v>
      </c>
      <c r="F79" t="s">
        <v>201</v>
      </c>
      <c r="G79" t="s">
        <v>202</v>
      </c>
      <c r="H79" t="s">
        <v>203</v>
      </c>
      <c r="I79" t="s">
        <v>204</v>
      </c>
      <c r="P79" s="17"/>
      <c r="Q79" s="17"/>
      <c r="R79" s="17"/>
      <c r="S79" s="17"/>
      <c r="T79" s="17"/>
    </row>
    <row r="80" spans="1:23">
      <c r="A80" t="s">
        <v>76</v>
      </c>
      <c r="B80" t="s">
        <v>140</v>
      </c>
      <c r="C80" t="s">
        <v>205</v>
      </c>
      <c r="D80">
        <v>1.5</v>
      </c>
      <c r="E80" s="7">
        <v>0.7</v>
      </c>
      <c r="F80" t="s">
        <v>201</v>
      </c>
      <c r="G80" t="s">
        <v>202</v>
      </c>
      <c r="H80" t="s">
        <v>203</v>
      </c>
      <c r="I80" t="s">
        <v>206</v>
      </c>
    </row>
    <row r="81" spans="1:21">
      <c r="A81" t="s">
        <v>77</v>
      </c>
      <c r="B81" t="s">
        <v>140</v>
      </c>
      <c r="C81" t="s">
        <v>207</v>
      </c>
      <c r="D81">
        <v>0.8</v>
      </c>
      <c r="E81" s="7">
        <v>0.8</v>
      </c>
      <c r="F81" t="s">
        <v>208</v>
      </c>
      <c r="H81" t="s">
        <v>209</v>
      </c>
      <c r="I81" t="s">
        <v>210</v>
      </c>
    </row>
    <row r="82" spans="1:21">
      <c r="A82" t="s">
        <v>78</v>
      </c>
      <c r="B82" t="s">
        <v>140</v>
      </c>
      <c r="C82" t="s">
        <v>211</v>
      </c>
      <c r="D82">
        <v>0.5</v>
      </c>
      <c r="E82" s="7">
        <v>0.6</v>
      </c>
      <c r="F82" t="s">
        <v>201</v>
      </c>
      <c r="G82" t="s">
        <v>202</v>
      </c>
      <c r="H82" t="s">
        <v>203</v>
      </c>
      <c r="I82" t="s">
        <v>206</v>
      </c>
    </row>
    <row r="83" spans="1:21">
      <c r="A83" t="s">
        <v>79</v>
      </c>
      <c r="B83" t="s">
        <v>140</v>
      </c>
      <c r="C83" t="s">
        <v>212</v>
      </c>
      <c r="D83">
        <v>1.5</v>
      </c>
      <c r="E83" s="7">
        <v>0.8</v>
      </c>
      <c r="F83" t="s">
        <v>201</v>
      </c>
      <c r="G83" t="s">
        <v>202</v>
      </c>
      <c r="H83" t="s">
        <v>203</v>
      </c>
      <c r="I83" t="s">
        <v>206</v>
      </c>
    </row>
    <row r="84" spans="1:21">
      <c r="A84" t="s">
        <v>80</v>
      </c>
      <c r="B84" t="s">
        <v>140</v>
      </c>
      <c r="C84" t="s">
        <v>213</v>
      </c>
      <c r="D84">
        <v>1.5</v>
      </c>
      <c r="E84" s="7">
        <v>0.8</v>
      </c>
      <c r="F84" t="s">
        <v>201</v>
      </c>
      <c r="G84" t="s">
        <v>202</v>
      </c>
      <c r="H84" t="s">
        <v>203</v>
      </c>
      <c r="I84" t="s">
        <v>206</v>
      </c>
    </row>
    <row r="85" spans="1:21">
      <c r="A85" t="s">
        <v>114</v>
      </c>
      <c r="B85" t="s">
        <v>140</v>
      </c>
      <c r="C85" t="s">
        <v>214</v>
      </c>
      <c r="D85">
        <v>1.5</v>
      </c>
      <c r="E85" s="7">
        <v>0.6</v>
      </c>
      <c r="F85" t="s">
        <v>215</v>
      </c>
      <c r="G85" t="s">
        <v>216</v>
      </c>
      <c r="H85" t="s">
        <v>216</v>
      </c>
      <c r="I85" t="s">
        <v>217</v>
      </c>
      <c r="J85" t="s">
        <v>218</v>
      </c>
    </row>
    <row r="86" spans="1:21">
      <c r="A86" t="s">
        <v>81</v>
      </c>
      <c r="B86" t="s">
        <v>140</v>
      </c>
      <c r="C86" t="s">
        <v>219</v>
      </c>
      <c r="D86">
        <v>1.2</v>
      </c>
      <c r="E86" s="7">
        <v>0.5</v>
      </c>
      <c r="F86" t="s">
        <v>201</v>
      </c>
      <c r="G86" t="s">
        <v>202</v>
      </c>
      <c r="H86" t="s">
        <v>203</v>
      </c>
      <c r="I86" t="s">
        <v>206</v>
      </c>
      <c r="P86" s="8"/>
      <c r="Q86" s="8"/>
      <c r="R86" s="8"/>
      <c r="S86" s="8"/>
      <c r="T86" s="8"/>
      <c r="U86" s="8"/>
    </row>
    <row r="87" spans="1:21">
      <c r="A87" t="s">
        <v>82</v>
      </c>
      <c r="B87" t="s">
        <v>140</v>
      </c>
      <c r="C87" t="s">
        <v>220</v>
      </c>
      <c r="D87">
        <v>1</v>
      </c>
      <c r="E87" s="7">
        <v>0.5</v>
      </c>
      <c r="F87" t="s">
        <v>201</v>
      </c>
      <c r="G87" t="s">
        <v>202</v>
      </c>
      <c r="H87" t="s">
        <v>203</v>
      </c>
      <c r="I87" t="s">
        <v>206</v>
      </c>
      <c r="P87" s="17"/>
      <c r="Q87" s="17"/>
      <c r="R87" s="17"/>
      <c r="S87" s="17"/>
      <c r="T87" s="17"/>
    </row>
    <row r="88" spans="1:21">
      <c r="A88" t="s">
        <v>221</v>
      </c>
      <c r="B88" t="s">
        <v>140</v>
      </c>
      <c r="C88" t="s">
        <v>222</v>
      </c>
      <c r="D88">
        <v>2</v>
      </c>
      <c r="E88" s="7">
        <v>1</v>
      </c>
      <c r="F88" t="s">
        <v>168</v>
      </c>
      <c r="G88" t="s">
        <v>223</v>
      </c>
      <c r="H88" t="s">
        <v>224</v>
      </c>
      <c r="I88" t="s">
        <v>225</v>
      </c>
    </row>
    <row r="89" spans="1:21">
      <c r="A89" t="s">
        <v>226</v>
      </c>
      <c r="B89" t="s">
        <v>140</v>
      </c>
      <c r="C89" t="s">
        <v>227</v>
      </c>
      <c r="D89">
        <v>1.2</v>
      </c>
      <c r="E89" s="7">
        <v>0.5</v>
      </c>
      <c r="F89" t="s">
        <v>196</v>
      </c>
      <c r="G89" t="s">
        <v>228</v>
      </c>
      <c r="H89" t="s">
        <v>229</v>
      </c>
      <c r="I89" t="s">
        <v>230</v>
      </c>
      <c r="J89" t="s">
        <v>231</v>
      </c>
    </row>
    <row r="90" spans="1:21">
      <c r="A90" t="s">
        <v>111</v>
      </c>
      <c r="B90" t="s">
        <v>133</v>
      </c>
      <c r="C90" t="s">
        <v>232</v>
      </c>
      <c r="D90">
        <v>0.1</v>
      </c>
      <c r="E90">
        <v>50</v>
      </c>
      <c r="F90" t="s">
        <v>233</v>
      </c>
      <c r="G90" t="s">
        <v>234</v>
      </c>
      <c r="I90" t="s">
        <v>235</v>
      </c>
    </row>
    <row r="91" spans="1:21">
      <c r="A91" t="s">
        <v>236</v>
      </c>
      <c r="B91" t="s">
        <v>140</v>
      </c>
      <c r="C91" t="s">
        <v>237</v>
      </c>
      <c r="D91">
        <v>0.5</v>
      </c>
      <c r="E91" s="7">
        <v>1</v>
      </c>
      <c r="F91" t="s">
        <v>238</v>
      </c>
      <c r="G91" t="s">
        <v>239</v>
      </c>
      <c r="H91" t="s">
        <v>240</v>
      </c>
      <c r="I91" t="s">
        <v>241</v>
      </c>
      <c r="J91" t="s">
        <v>242</v>
      </c>
    </row>
    <row r="92" spans="1:21">
      <c r="A92" t="s">
        <v>243</v>
      </c>
      <c r="B92" t="s">
        <v>140</v>
      </c>
      <c r="C92" t="s">
        <v>244</v>
      </c>
      <c r="D92">
        <v>2.5</v>
      </c>
      <c r="E92" s="7">
        <v>2</v>
      </c>
    </row>
    <row r="93" spans="1:21">
      <c r="A93" t="s">
        <v>93</v>
      </c>
      <c r="B93" t="s">
        <v>140</v>
      </c>
      <c r="C93" t="s">
        <v>245</v>
      </c>
      <c r="D93">
        <v>3</v>
      </c>
      <c r="E93" s="7">
        <v>0.6</v>
      </c>
      <c r="F93" t="s">
        <v>246</v>
      </c>
      <c r="G93" t="s">
        <v>247</v>
      </c>
      <c r="H93" t="s">
        <v>247</v>
      </c>
      <c r="I93" t="s">
        <v>248</v>
      </c>
      <c r="J93" t="s">
        <v>218</v>
      </c>
      <c r="P93" s="8"/>
      <c r="Q93" s="8"/>
      <c r="R93" s="8"/>
      <c r="S93" s="8"/>
      <c r="T93" s="8"/>
      <c r="U93" s="8"/>
    </row>
    <row r="94" spans="1:21">
      <c r="A94" t="s">
        <v>94</v>
      </c>
      <c r="B94" t="s">
        <v>140</v>
      </c>
      <c r="C94" t="s">
        <v>249</v>
      </c>
      <c r="D94">
        <v>3</v>
      </c>
      <c r="E94" s="7">
        <v>1</v>
      </c>
      <c r="F94" t="s">
        <v>196</v>
      </c>
      <c r="G94" t="s">
        <v>197</v>
      </c>
      <c r="H94" t="s">
        <v>198</v>
      </c>
      <c r="I94" t="s">
        <v>250</v>
      </c>
      <c r="J94" t="s">
        <v>251</v>
      </c>
      <c r="P94" s="17"/>
      <c r="Q94" s="17"/>
      <c r="R94" s="17"/>
      <c r="S94" s="17"/>
      <c r="T94" s="17"/>
    </row>
    <row r="95" spans="1:21">
      <c r="A95" t="s">
        <v>101</v>
      </c>
      <c r="B95" t="s">
        <v>140</v>
      </c>
      <c r="C95" t="s">
        <v>252</v>
      </c>
      <c r="D95">
        <v>1</v>
      </c>
      <c r="E95" s="7">
        <v>1</v>
      </c>
      <c r="F95" t="s">
        <v>253</v>
      </c>
      <c r="G95" t="s">
        <v>254</v>
      </c>
      <c r="H95" t="s">
        <v>255</v>
      </c>
      <c r="I95" t="s">
        <v>242</v>
      </c>
      <c r="J95" t="s">
        <v>256</v>
      </c>
    </row>
    <row r="96" spans="1:21">
      <c r="A96" t="s">
        <v>95</v>
      </c>
      <c r="B96" t="s">
        <v>140</v>
      </c>
      <c r="C96" t="s">
        <v>257</v>
      </c>
      <c r="D96">
        <v>0.5</v>
      </c>
      <c r="E96" s="7">
        <v>0.6</v>
      </c>
      <c r="F96" t="s">
        <v>196</v>
      </c>
      <c r="G96" t="s">
        <v>197</v>
      </c>
      <c r="H96" t="s">
        <v>198</v>
      </c>
      <c r="I96" t="s">
        <v>258</v>
      </c>
      <c r="J96" t="s">
        <v>259</v>
      </c>
    </row>
    <row r="97" spans="1:21">
      <c r="A97" t="s">
        <v>260</v>
      </c>
      <c r="B97" t="s">
        <v>140</v>
      </c>
      <c r="C97" t="s">
        <v>261</v>
      </c>
      <c r="D97">
        <v>0.6</v>
      </c>
      <c r="E97" s="7">
        <v>2.45</v>
      </c>
      <c r="F97" t="s">
        <v>262</v>
      </c>
      <c r="G97" t="s">
        <v>263</v>
      </c>
      <c r="H97" t="s">
        <v>264</v>
      </c>
      <c r="I97" t="s">
        <v>265</v>
      </c>
      <c r="J97" t="s">
        <v>266</v>
      </c>
    </row>
    <row r="98" spans="1:21">
      <c r="A98" t="s">
        <v>98</v>
      </c>
      <c r="B98" t="s">
        <v>140</v>
      </c>
      <c r="C98" t="s">
        <v>267</v>
      </c>
      <c r="D98">
        <v>0.4</v>
      </c>
      <c r="E98" s="7">
        <v>0.6</v>
      </c>
      <c r="F98" t="s">
        <v>196</v>
      </c>
      <c r="G98" t="s">
        <v>197</v>
      </c>
      <c r="H98" t="s">
        <v>198</v>
      </c>
      <c r="I98" t="s">
        <v>258</v>
      </c>
      <c r="J98" t="s">
        <v>259</v>
      </c>
      <c r="P98" s="8"/>
      <c r="Q98" s="8"/>
      <c r="R98" s="8"/>
      <c r="S98" s="8"/>
      <c r="T98" s="8"/>
      <c r="U98" s="8"/>
    </row>
    <row r="99" spans="1:21">
      <c r="A99" t="s">
        <v>268</v>
      </c>
      <c r="B99" t="s">
        <v>140</v>
      </c>
      <c r="C99" t="s">
        <v>269</v>
      </c>
      <c r="D99">
        <v>0.6</v>
      </c>
      <c r="E99" s="7">
        <v>0.9</v>
      </c>
      <c r="F99" t="s">
        <v>253</v>
      </c>
      <c r="G99" t="s">
        <v>254</v>
      </c>
      <c r="H99" t="s">
        <v>255</v>
      </c>
      <c r="I99" t="s">
        <v>242</v>
      </c>
      <c r="J99" t="s">
        <v>256</v>
      </c>
      <c r="P99" s="17"/>
      <c r="Q99" s="17"/>
      <c r="R99" s="17"/>
      <c r="S99" s="17"/>
    </row>
    <row r="100" spans="1:21">
      <c r="A100" t="s">
        <v>97</v>
      </c>
      <c r="B100" t="s">
        <v>140</v>
      </c>
      <c r="C100" t="s">
        <v>270</v>
      </c>
      <c r="D100">
        <v>0.4</v>
      </c>
      <c r="E100" s="7">
        <v>0.7</v>
      </c>
      <c r="F100" t="s">
        <v>196</v>
      </c>
      <c r="G100" t="s">
        <v>197</v>
      </c>
      <c r="H100" t="s">
        <v>198</v>
      </c>
      <c r="I100" t="s">
        <v>258</v>
      </c>
      <c r="J100" t="s">
        <v>259</v>
      </c>
    </row>
    <row r="101" spans="1:21">
      <c r="A101" t="s">
        <v>271</v>
      </c>
      <c r="B101" t="s">
        <v>140</v>
      </c>
      <c r="C101" t="s">
        <v>272</v>
      </c>
      <c r="D101">
        <v>0.8</v>
      </c>
      <c r="E101" s="7">
        <v>1.2</v>
      </c>
      <c r="F101" t="s">
        <v>253</v>
      </c>
      <c r="G101" t="s">
        <v>254</v>
      </c>
      <c r="H101" t="s">
        <v>255</v>
      </c>
      <c r="I101" t="s">
        <v>242</v>
      </c>
      <c r="J101" t="s">
        <v>256</v>
      </c>
    </row>
    <row r="102" spans="1:21">
      <c r="A102" t="s">
        <v>96</v>
      </c>
      <c r="B102" t="s">
        <v>140</v>
      </c>
      <c r="C102" t="s">
        <v>273</v>
      </c>
      <c r="D102">
        <v>0.4</v>
      </c>
      <c r="E102" s="7">
        <v>0.7</v>
      </c>
      <c r="F102" t="s">
        <v>196</v>
      </c>
      <c r="G102" t="s">
        <v>197</v>
      </c>
      <c r="H102" t="s">
        <v>198</v>
      </c>
      <c r="I102" t="s">
        <v>258</v>
      </c>
      <c r="J102" t="s">
        <v>259</v>
      </c>
    </row>
    <row r="103" spans="1:21">
      <c r="A103" t="s">
        <v>274</v>
      </c>
      <c r="B103" t="s">
        <v>133</v>
      </c>
    </row>
    <row r="104" spans="1:21">
      <c r="A104" t="s">
        <v>275</v>
      </c>
      <c r="B104" t="s">
        <v>133</v>
      </c>
      <c r="C104" t="s">
        <v>276</v>
      </c>
    </row>
    <row r="109" spans="1:21">
      <c r="A109" t="s">
        <v>277</v>
      </c>
      <c r="B109" t="s">
        <v>140</v>
      </c>
      <c r="C109" t="s">
        <v>278</v>
      </c>
    </row>
    <row r="110" spans="1:21">
      <c r="A110" t="s">
        <v>279</v>
      </c>
      <c r="B110" t="s">
        <v>140</v>
      </c>
      <c r="C110" t="s">
        <v>280</v>
      </c>
    </row>
    <row r="117" spans="1:1">
      <c r="A117" t="s">
        <v>281</v>
      </c>
    </row>
    <row r="118" spans="1:1">
      <c r="A118" t="s">
        <v>282</v>
      </c>
    </row>
    <row r="119" spans="1:1">
      <c r="A119" t="s">
        <v>283</v>
      </c>
    </row>
    <row r="120" spans="1:1">
      <c r="A120" t="s">
        <v>284</v>
      </c>
    </row>
    <row r="121" spans="1:1">
      <c r="A121" t="s">
        <v>285</v>
      </c>
    </row>
    <row r="122" spans="1:1">
      <c r="A122" t="s">
        <v>286</v>
      </c>
    </row>
    <row r="123" spans="1:1">
      <c r="A123" t="s">
        <v>287</v>
      </c>
    </row>
    <row r="124" spans="1:1">
      <c r="A124" t="s">
        <v>288</v>
      </c>
    </row>
    <row r="125" spans="1:1">
      <c r="A125" t="s">
        <v>289</v>
      </c>
    </row>
    <row r="126" spans="1:1">
      <c r="A126" t="s">
        <v>290</v>
      </c>
    </row>
  </sheetData>
  <mergeCells count="6">
    <mergeCell ref="P98:U98"/>
    <mergeCell ref="A3:A6"/>
    <mergeCell ref="A9:A12"/>
    <mergeCell ref="A16:A19"/>
    <mergeCell ref="A22:A23"/>
    <mergeCell ref="A29:A30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8"/>
  <sheetViews>
    <sheetView workbookViewId="0">
      <selection activeCell="B15" sqref="B15"/>
    </sheetView>
  </sheetViews>
  <sheetFormatPr defaultColWidth="9" defaultRowHeight="13.5"/>
  <cols>
    <col min="1" max="2" width="12.6666666666667" customWidth="1"/>
    <col min="3" max="3" width="13.775" customWidth="1"/>
    <col min="4" max="4" width="12.6666666666667" customWidth="1"/>
    <col min="5" max="5" width="37.4416666666667" customWidth="1"/>
    <col min="6" max="7" width="12.6666666666667" customWidth="1"/>
  </cols>
  <sheetData>
    <row r="1" spans="1:19">
      <c r="A1" t="s">
        <v>291</v>
      </c>
      <c r="B1">
        <v>50</v>
      </c>
      <c r="C1" t="s">
        <v>292</v>
      </c>
      <c r="D1">
        <v>4</v>
      </c>
      <c r="E1" t="s">
        <v>293</v>
      </c>
      <c r="F1">
        <v>100</v>
      </c>
      <c r="O1" t="s">
        <v>3</v>
      </c>
      <c r="P1" t="s">
        <v>294</v>
      </c>
      <c r="Q1" t="s">
        <v>128</v>
      </c>
      <c r="R1" t="s">
        <v>295</v>
      </c>
      <c r="S1" t="s">
        <v>296</v>
      </c>
    </row>
    <row r="2" spans="1:19">
      <c r="A2" t="s">
        <v>297</v>
      </c>
      <c r="B2" s="8" t="s">
        <v>298</v>
      </c>
      <c r="C2" s="8"/>
      <c r="D2" t="s">
        <v>299</v>
      </c>
      <c r="E2" s="8" t="s">
        <v>300</v>
      </c>
      <c r="F2" s="8"/>
      <c r="G2" t="s">
        <v>299</v>
      </c>
      <c r="O2" t="s">
        <v>301</v>
      </c>
      <c r="P2" t="s">
        <v>302</v>
      </c>
      <c r="Q2" t="s">
        <v>303</v>
      </c>
      <c r="S2" s="18" t="s">
        <v>304</v>
      </c>
    </row>
    <row r="3" spans="1:19">
      <c r="A3">
        <v>12</v>
      </c>
      <c r="B3" t="s">
        <v>9</v>
      </c>
      <c r="C3">
        <v>60</v>
      </c>
      <c r="D3">
        <v>5</v>
      </c>
      <c r="E3" t="s">
        <v>9</v>
      </c>
      <c r="F3">
        <v>24</v>
      </c>
      <c r="G3">
        <v>2</v>
      </c>
      <c r="H3" t="s">
        <v>9</v>
      </c>
      <c r="I3">
        <f>C3+F3*($B$1-1)</f>
        <v>1236</v>
      </c>
      <c r="J3">
        <f>I3/A3</f>
        <v>103</v>
      </c>
      <c r="O3" t="s">
        <v>305</v>
      </c>
      <c r="P3" t="s">
        <v>306</v>
      </c>
      <c r="Q3" t="s">
        <v>307</v>
      </c>
      <c r="R3" t="s">
        <v>308</v>
      </c>
      <c r="S3" s="18" t="s">
        <v>309</v>
      </c>
    </row>
    <row r="4" spans="1:19">
      <c r="A4">
        <v>2</v>
      </c>
      <c r="B4" t="s">
        <v>10</v>
      </c>
      <c r="C4">
        <v>16</v>
      </c>
      <c r="D4">
        <v>8</v>
      </c>
      <c r="E4" t="s">
        <v>10</v>
      </c>
      <c r="F4">
        <v>8</v>
      </c>
      <c r="G4">
        <v>4</v>
      </c>
      <c r="H4" t="s">
        <v>10</v>
      </c>
      <c r="I4">
        <f t="shared" ref="I4:I8" si="0">C4+F4*($B$1-1)</f>
        <v>408</v>
      </c>
      <c r="J4">
        <f t="shared" ref="J4:J8" si="1">I4/A4</f>
        <v>204</v>
      </c>
      <c r="O4" t="s">
        <v>310</v>
      </c>
      <c r="P4" t="s">
        <v>311</v>
      </c>
      <c r="Q4" t="s">
        <v>312</v>
      </c>
      <c r="R4" t="s">
        <v>313</v>
      </c>
      <c r="S4" s="18" t="s">
        <v>314</v>
      </c>
    </row>
    <row r="5" spans="1:19">
      <c r="A5">
        <v>2</v>
      </c>
      <c r="B5" t="s">
        <v>11</v>
      </c>
      <c r="C5">
        <v>10</v>
      </c>
      <c r="D5">
        <v>5</v>
      </c>
      <c r="E5" t="s">
        <v>11</v>
      </c>
      <c r="F5">
        <v>4</v>
      </c>
      <c r="G5">
        <v>2</v>
      </c>
      <c r="H5" t="s">
        <v>11</v>
      </c>
      <c r="I5">
        <f t="shared" si="0"/>
        <v>206</v>
      </c>
      <c r="J5">
        <f t="shared" si="1"/>
        <v>103</v>
      </c>
      <c r="O5" t="s">
        <v>315</v>
      </c>
      <c r="P5" t="s">
        <v>316</v>
      </c>
      <c r="Q5" t="s">
        <v>317</v>
      </c>
      <c r="S5" s="18" t="s">
        <v>318</v>
      </c>
    </row>
    <row r="6" spans="1:19">
      <c r="A6">
        <v>2</v>
      </c>
      <c r="B6" t="s">
        <v>12</v>
      </c>
      <c r="C6">
        <v>10</v>
      </c>
      <c r="D6">
        <v>5</v>
      </c>
      <c r="E6" t="s">
        <v>12</v>
      </c>
      <c r="F6">
        <v>3</v>
      </c>
      <c r="G6">
        <v>1.5</v>
      </c>
      <c r="H6" t="s">
        <v>12</v>
      </c>
      <c r="I6">
        <f t="shared" si="0"/>
        <v>157</v>
      </c>
      <c r="J6">
        <f t="shared" si="1"/>
        <v>78.5</v>
      </c>
      <c r="L6" s="8"/>
      <c r="M6" s="8"/>
    </row>
    <row r="7" spans="1:19">
      <c r="A7">
        <v>2</v>
      </c>
      <c r="B7" t="s">
        <v>13</v>
      </c>
      <c r="C7">
        <v>10</v>
      </c>
      <c r="D7">
        <v>5</v>
      </c>
      <c r="E7" t="s">
        <v>13</v>
      </c>
      <c r="F7">
        <v>3</v>
      </c>
      <c r="G7">
        <v>1.5</v>
      </c>
      <c r="H7" t="s">
        <v>13</v>
      </c>
      <c r="I7">
        <f t="shared" si="0"/>
        <v>157</v>
      </c>
      <c r="J7">
        <f t="shared" si="1"/>
        <v>78.5</v>
      </c>
      <c r="L7" s="8"/>
      <c r="M7" s="8"/>
    </row>
    <row r="8" spans="1:19">
      <c r="A8">
        <v>2</v>
      </c>
      <c r="B8" t="s">
        <v>14</v>
      </c>
      <c r="C8">
        <v>10</v>
      </c>
      <c r="D8">
        <v>5</v>
      </c>
      <c r="E8" t="s">
        <v>14</v>
      </c>
      <c r="F8">
        <v>2</v>
      </c>
      <c r="G8">
        <v>1</v>
      </c>
      <c r="H8" t="s">
        <v>14</v>
      </c>
      <c r="I8">
        <f t="shared" si="0"/>
        <v>108</v>
      </c>
      <c r="J8">
        <f t="shared" si="1"/>
        <v>54</v>
      </c>
      <c r="L8" s="8"/>
      <c r="M8" s="8"/>
    </row>
    <row r="9" spans="1:19">
      <c r="D9">
        <f>SUM(D3:D8)</f>
        <v>33</v>
      </c>
      <c r="G9">
        <f>SUM(G3:G8)</f>
        <v>12</v>
      </c>
      <c r="J9">
        <f>SUM(J3:J8)+D1*(B1-1)</f>
        <v>817</v>
      </c>
      <c r="Q9" s="8"/>
    </row>
    <row r="13" spans="1:19">
      <c r="Q13" s="13"/>
    </row>
    <row r="14" spans="1:19">
      <c r="A14" t="s">
        <v>319</v>
      </c>
      <c r="B14" t="s">
        <v>320</v>
      </c>
      <c r="C14" t="s">
        <v>321</v>
      </c>
      <c r="D14" t="s">
        <v>322</v>
      </c>
      <c r="F14" t="s">
        <v>323</v>
      </c>
      <c r="Q14" s="13"/>
    </row>
    <row r="15" spans="1:19">
      <c r="A15" t="s">
        <v>291</v>
      </c>
      <c r="B15">
        <f>(D1+G9)*50+F1</f>
        <v>900</v>
      </c>
      <c r="C15">
        <v>120</v>
      </c>
      <c r="D15" s="12">
        <f t="shared" ref="D15:D21" si="2">ROUND(C15/$C$22*100,2)</f>
        <v>15.38</v>
      </c>
      <c r="F15" t="s">
        <v>324</v>
      </c>
      <c r="Q15" s="8"/>
    </row>
    <row r="16" spans="1:19">
      <c r="A16" t="s">
        <v>325</v>
      </c>
      <c r="C16">
        <v>240</v>
      </c>
      <c r="D16" s="12">
        <f t="shared" si="2"/>
        <v>30.77</v>
      </c>
      <c r="E16" t="s">
        <v>326</v>
      </c>
      <c r="F16" t="s">
        <v>327</v>
      </c>
      <c r="I16" t="s">
        <v>328</v>
      </c>
      <c r="J16" t="s">
        <v>313</v>
      </c>
      <c r="K16" t="s">
        <v>308</v>
      </c>
      <c r="L16" t="s">
        <v>329</v>
      </c>
      <c r="M16" t="s">
        <v>330</v>
      </c>
      <c r="Q16" s="13"/>
    </row>
    <row r="17" spans="1:17">
      <c r="A17" t="s">
        <v>331</v>
      </c>
      <c r="C17">
        <v>60</v>
      </c>
      <c r="D17" s="12">
        <f t="shared" si="2"/>
        <v>7.69</v>
      </c>
      <c r="F17" t="s">
        <v>332</v>
      </c>
      <c r="J17">
        <v>24</v>
      </c>
      <c r="K17">
        <v>72</v>
      </c>
      <c r="L17">
        <v>16</v>
      </c>
      <c r="M17">
        <v>8</v>
      </c>
      <c r="Q17" s="13"/>
    </row>
    <row r="18" spans="1:17">
      <c r="A18" t="s">
        <v>160</v>
      </c>
      <c r="C18">
        <v>120</v>
      </c>
      <c r="D18" s="12">
        <f t="shared" si="2"/>
        <v>15.38</v>
      </c>
      <c r="F18" t="s">
        <v>333</v>
      </c>
      <c r="I18" t="s">
        <v>160</v>
      </c>
      <c r="J18" t="s">
        <v>334</v>
      </c>
      <c r="K18" t="s">
        <v>335</v>
      </c>
    </row>
    <row r="19" spans="1:17">
      <c r="A19" t="s">
        <v>336</v>
      </c>
      <c r="C19">
        <v>120</v>
      </c>
      <c r="D19" s="12">
        <f t="shared" si="2"/>
        <v>15.38</v>
      </c>
      <c r="E19" t="s">
        <v>337</v>
      </c>
      <c r="F19" t="s">
        <v>333</v>
      </c>
    </row>
    <row r="20" spans="1:17">
      <c r="A20" t="s">
        <v>338</v>
      </c>
      <c r="C20">
        <v>60</v>
      </c>
      <c r="D20" s="12">
        <f t="shared" si="2"/>
        <v>7.69</v>
      </c>
      <c r="Q20" s="13"/>
    </row>
    <row r="21" spans="1:17">
      <c r="A21" t="s">
        <v>339</v>
      </c>
      <c r="C21">
        <v>60</v>
      </c>
      <c r="D21" s="12">
        <f t="shared" si="2"/>
        <v>7.69</v>
      </c>
      <c r="J21" t="s">
        <v>334</v>
      </c>
      <c r="K21" t="s">
        <v>335</v>
      </c>
      <c r="Q21" s="13"/>
    </row>
    <row r="22" spans="1:17">
      <c r="C22">
        <f>SUM(C15:C21)</f>
        <v>780</v>
      </c>
      <c r="D22">
        <f>SUM(D15:D21)</f>
        <v>99.98</v>
      </c>
      <c r="J22" t="s">
        <v>334</v>
      </c>
      <c r="K22" t="s">
        <v>335</v>
      </c>
    </row>
    <row r="23" spans="1:17">
      <c r="B23" t="s">
        <v>340</v>
      </c>
      <c r="C23">
        <f>B15/D15*100</f>
        <v>5851.755526658</v>
      </c>
      <c r="Q23" s="8"/>
    </row>
    <row r="28" spans="1:17">
      <c r="C28">
        <v>2</v>
      </c>
      <c r="Q28" s="8"/>
    </row>
    <row r="29" spans="1:17">
      <c r="C29">
        <v>4</v>
      </c>
    </row>
    <row r="30" spans="1:17">
      <c r="C30">
        <v>1</v>
      </c>
    </row>
    <row r="31" spans="1:17">
      <c r="C31">
        <v>1</v>
      </c>
    </row>
    <row r="32" spans="1:17">
      <c r="C32">
        <v>1</v>
      </c>
      <c r="Q32" s="8"/>
    </row>
    <row r="33" spans="3:17">
      <c r="C33">
        <v>1</v>
      </c>
    </row>
    <row r="34" spans="3:17">
      <c r="C34">
        <v>1</v>
      </c>
    </row>
    <row r="35" spans="3:17">
      <c r="C35">
        <f>SUM(C28:C33)</f>
        <v>10</v>
      </c>
    </row>
    <row r="39" spans="3:17">
      <c r="Q39" s="8"/>
    </row>
    <row r="42" spans="3:17">
      <c r="K42">
        <f>2*6*50</f>
        <v>600</v>
      </c>
      <c r="Q42" s="8"/>
    </row>
    <row r="50" spans="12:13">
      <c r="L50" s="8"/>
      <c r="M50" s="8"/>
    </row>
    <row r="51" spans="12:13">
      <c r="L51" s="8"/>
      <c r="M51" s="8"/>
    </row>
    <row r="52" spans="12:13">
      <c r="L52" s="8"/>
      <c r="M52" s="8"/>
    </row>
    <row r="53" spans="12:13">
      <c r="L53" s="8"/>
      <c r="M53" s="8"/>
    </row>
    <row r="54" spans="12:13">
      <c r="L54" s="8"/>
      <c r="M54" s="8"/>
    </row>
    <row r="55" spans="12:13">
      <c r="L55" s="8"/>
      <c r="M55" s="8"/>
    </row>
    <row r="56" spans="12:13">
      <c r="L56" s="8"/>
      <c r="M56" s="8"/>
    </row>
    <row r="57" spans="12:13">
      <c r="L57" s="8"/>
      <c r="M57" s="8"/>
    </row>
    <row r="58" spans="12:13">
      <c r="L58" s="8"/>
      <c r="M58" s="8"/>
    </row>
    <row r="59" spans="12:13">
      <c r="L59" s="8"/>
      <c r="M59" s="8"/>
    </row>
    <row r="60" spans="12:13">
      <c r="L60" s="8"/>
      <c r="M60" s="8"/>
    </row>
    <row r="61" spans="12:13">
      <c r="L61" s="8"/>
      <c r="M61" s="8"/>
    </row>
    <row r="62" spans="12:13">
      <c r="L62" s="8"/>
      <c r="M62" s="8"/>
    </row>
    <row r="63" spans="12:13">
      <c r="L63" s="8"/>
      <c r="M63" s="8"/>
    </row>
    <row r="64" spans="12:13">
      <c r="L64" s="8"/>
      <c r="M64" s="8"/>
    </row>
    <row r="65" spans="12:28">
      <c r="L65" s="8"/>
      <c r="M65" s="8"/>
    </row>
    <row r="66" spans="12:28">
      <c r="L66" s="8"/>
      <c r="M66" s="8"/>
    </row>
    <row r="67" spans="12:28">
      <c r="L67" s="8" t="s">
        <v>341</v>
      </c>
      <c r="M67" s="8"/>
      <c r="N67" s="8"/>
      <c r="O67" s="8"/>
      <c r="P67" s="8"/>
      <c r="Q67" s="8"/>
      <c r="R67" s="8"/>
      <c r="S67" s="8"/>
      <c r="T67" s="8"/>
    </row>
    <row r="68" spans="12:28">
      <c r="M68" s="8"/>
      <c r="N68" s="8"/>
    </row>
    <row r="69" spans="12:28">
      <c r="M69" s="8"/>
      <c r="N69" s="8"/>
    </row>
    <row r="70" spans="12:28">
      <c r="M70" s="8"/>
      <c r="N70" s="8"/>
      <c r="O70" t="s">
        <v>342</v>
      </c>
    </row>
    <row r="71" spans="12:28">
      <c r="M71" s="8" t="s">
        <v>343</v>
      </c>
      <c r="N71" s="8"/>
      <c r="O71" t="s">
        <v>344</v>
      </c>
    </row>
    <row r="72" spans="12:28">
      <c r="M72" s="8" t="s">
        <v>343</v>
      </c>
      <c r="N72" s="8"/>
      <c r="O72" t="s">
        <v>345</v>
      </c>
    </row>
    <row r="73" spans="12:28">
      <c r="M73" s="8" t="s">
        <v>343</v>
      </c>
      <c r="N73" s="8"/>
      <c r="O73" t="s">
        <v>346</v>
      </c>
    </row>
    <row r="74" spans="12:28">
      <c r="M74" s="8" t="s">
        <v>343</v>
      </c>
      <c r="N74" s="8"/>
      <c r="O74" t="s">
        <v>347</v>
      </c>
    </row>
    <row r="75" spans="12:28">
      <c r="M75" s="8" t="s">
        <v>343</v>
      </c>
      <c r="N75" s="8"/>
      <c r="O75" t="s">
        <v>348</v>
      </c>
    </row>
    <row r="76" spans="12:28">
      <c r="M76" s="8" t="s">
        <v>343</v>
      </c>
      <c r="N76" s="8"/>
      <c r="O76" t="s">
        <v>349</v>
      </c>
    </row>
    <row r="77" spans="12:28">
      <c r="L77" s="8"/>
      <c r="M77" s="8"/>
      <c r="U77" t="s">
        <v>350</v>
      </c>
      <c r="V77" t="s">
        <v>351</v>
      </c>
      <c r="Z77" t="s">
        <v>352</v>
      </c>
      <c r="AA77" t="s">
        <v>353</v>
      </c>
      <c r="AB77" t="s">
        <v>354</v>
      </c>
    </row>
    <row r="78" spans="12:28">
      <c r="L78" s="8"/>
      <c r="M78" s="8"/>
    </row>
    <row r="79" spans="12:28">
      <c r="L79" s="8"/>
      <c r="M79" s="8"/>
    </row>
    <row r="80" spans="12:28">
      <c r="L80" s="8"/>
      <c r="M80" s="8"/>
      <c r="N80" t="s">
        <v>355</v>
      </c>
    </row>
    <row r="81" spans="11:20">
      <c r="K81" t="s">
        <v>356</v>
      </c>
      <c r="L81" s="8"/>
      <c r="M81" s="8"/>
    </row>
    <row r="82" spans="11:20">
      <c r="K82" t="s">
        <v>357</v>
      </c>
      <c r="L82" s="8"/>
      <c r="M82" s="8"/>
    </row>
    <row r="83" spans="11:20">
      <c r="L83" s="8"/>
      <c r="M83" s="8"/>
    </row>
    <row r="84" ht="14.4" customHeight="1" spans="11:20">
      <c r="K84" t="s">
        <v>48</v>
      </c>
      <c r="L84" s="8" t="s">
        <v>140</v>
      </c>
      <c r="M84" s="8"/>
      <c r="N84" s="7">
        <v>0.5</v>
      </c>
      <c r="O84" s="14" t="s">
        <v>358</v>
      </c>
      <c r="P84" s="15"/>
      <c r="Q84" s="15"/>
      <c r="R84" s="15"/>
      <c r="S84" s="15"/>
      <c r="T84" s="15"/>
    </row>
    <row r="85" spans="11:20">
      <c r="K85" t="s">
        <v>176</v>
      </c>
      <c r="L85" s="8" t="s">
        <v>140</v>
      </c>
      <c r="M85" s="8"/>
    </row>
    <row r="86" spans="11:20">
      <c r="K86" t="s">
        <v>359</v>
      </c>
      <c r="L86" s="8" t="s">
        <v>133</v>
      </c>
      <c r="M86" s="8"/>
    </row>
    <row r="87" spans="11:20">
      <c r="L87" s="8"/>
      <c r="M87" s="8"/>
    </row>
    <row r="88" spans="11:20">
      <c r="L88" s="8"/>
      <c r="M88" s="8"/>
    </row>
    <row r="89" spans="11:20">
      <c r="K89" t="s">
        <v>78</v>
      </c>
      <c r="L89" s="8"/>
      <c r="M89" s="8"/>
      <c r="N89" t="s">
        <v>360</v>
      </c>
    </row>
    <row r="90" spans="11:20">
      <c r="L90" s="8"/>
      <c r="M90" s="8"/>
    </row>
    <row r="202" spans="12:13">
      <c r="L202" s="8"/>
      <c r="M202" s="8"/>
    </row>
    <row r="203" spans="12:13">
      <c r="L203" s="8"/>
      <c r="M203" s="8"/>
    </row>
    <row r="204" spans="12:13">
      <c r="L204" s="8"/>
      <c r="M204" s="8"/>
    </row>
    <row r="205" spans="12:13">
      <c r="L205" s="8"/>
      <c r="M205" s="8"/>
    </row>
    <row r="206" spans="12:13">
      <c r="L206" s="8"/>
      <c r="M206" s="8"/>
    </row>
    <row r="207" spans="12:13">
      <c r="L207" s="8"/>
      <c r="M207" s="8"/>
    </row>
    <row r="208" spans="12:13">
      <c r="L208" s="8"/>
      <c r="M208" s="8"/>
    </row>
  </sheetData>
  <mergeCells count="2">
    <mergeCell ref="B2:C2"/>
    <mergeCell ref="E2:F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3"/>
  <sheetViews>
    <sheetView topLeftCell="A13" workbookViewId="0">
      <selection activeCell="C26" sqref="C26:C31"/>
    </sheetView>
  </sheetViews>
  <sheetFormatPr defaultColWidth="9" defaultRowHeight="13.5"/>
  <cols>
    <col min="7" max="9" width="8.66666666666667" customWidth="1"/>
    <col min="10" max="14" width="12.6666666666667" customWidth="1"/>
  </cols>
  <sheetData>
    <row r="1" spans="1:16">
      <c r="A1" t="s">
        <v>361</v>
      </c>
      <c r="B1" t="s">
        <v>362</v>
      </c>
      <c r="C1" t="s">
        <v>363</v>
      </c>
      <c r="D1" t="s">
        <v>364</v>
      </c>
      <c r="E1" t="s">
        <v>365</v>
      </c>
    </row>
    <row r="2" customHeight="1" spans="1:16">
      <c r="A2" t="s">
        <v>159</v>
      </c>
      <c r="B2" t="s">
        <v>10</v>
      </c>
      <c r="C2" t="s">
        <v>366</v>
      </c>
      <c r="D2" t="s">
        <v>367</v>
      </c>
      <c r="E2" t="s">
        <v>368</v>
      </c>
    </row>
    <row r="3" spans="1:16">
      <c r="A3" t="s">
        <v>369</v>
      </c>
      <c r="B3" t="s">
        <v>11</v>
      </c>
      <c r="C3" t="s">
        <v>370</v>
      </c>
      <c r="D3" t="s">
        <v>371</v>
      </c>
      <c r="E3" t="s">
        <v>372</v>
      </c>
    </row>
    <row r="4" customHeight="1" spans="1:16">
      <c r="A4" t="s">
        <v>373</v>
      </c>
      <c r="B4" t="s">
        <v>9</v>
      </c>
      <c r="C4" t="s">
        <v>374</v>
      </c>
      <c r="D4" t="s">
        <v>375</v>
      </c>
      <c r="E4" t="s">
        <v>376</v>
      </c>
    </row>
    <row r="5" spans="1:16">
      <c r="A5" t="s">
        <v>377</v>
      </c>
      <c r="B5" t="s">
        <v>13</v>
      </c>
      <c r="C5" t="s">
        <v>378</v>
      </c>
      <c r="D5" t="s">
        <v>379</v>
      </c>
      <c r="E5" t="s">
        <v>380</v>
      </c>
    </row>
    <row r="6" customHeight="1" spans="1:16">
      <c r="A6" t="s">
        <v>381</v>
      </c>
      <c r="B6" t="s">
        <v>12</v>
      </c>
      <c r="C6" t="s">
        <v>382</v>
      </c>
      <c r="D6" t="s">
        <v>382</v>
      </c>
      <c r="E6" t="s">
        <v>382</v>
      </c>
    </row>
    <row r="7" spans="1:16">
      <c r="A7" t="s">
        <v>383</v>
      </c>
      <c r="B7" t="s">
        <v>14</v>
      </c>
      <c r="C7" t="s">
        <v>382</v>
      </c>
      <c r="D7" t="s">
        <v>382</v>
      </c>
      <c r="E7" t="s">
        <v>382</v>
      </c>
    </row>
    <row r="8" customHeight="1"/>
    <row r="10" customHeight="1"/>
    <row r="11" spans="1:16">
      <c r="A11" t="s">
        <v>384</v>
      </c>
      <c r="B11" t="s">
        <v>385</v>
      </c>
      <c r="C11" t="s">
        <v>386</v>
      </c>
      <c r="D11" t="s">
        <v>387</v>
      </c>
      <c r="H11" t="s">
        <v>388</v>
      </c>
    </row>
    <row r="12" spans="1:16">
      <c r="A12" t="s">
        <v>389</v>
      </c>
      <c r="B12">
        <v>3</v>
      </c>
      <c r="C12" t="s">
        <v>390</v>
      </c>
      <c r="D12">
        <v>1</v>
      </c>
      <c r="H12" t="s">
        <v>391</v>
      </c>
      <c r="J12" s="8" t="s">
        <v>392</v>
      </c>
      <c r="K12" s="8"/>
      <c r="L12" s="8"/>
      <c r="M12" s="8"/>
      <c r="N12" s="8"/>
    </row>
    <row r="13" spans="1:16">
      <c r="A13" t="s">
        <v>393</v>
      </c>
      <c r="B13">
        <v>6</v>
      </c>
      <c r="C13" t="s">
        <v>394</v>
      </c>
      <c r="D13">
        <v>2</v>
      </c>
      <c r="J13" t="s">
        <v>395</v>
      </c>
      <c r="K13" s="8" t="s">
        <v>396</v>
      </c>
      <c r="L13" s="8"/>
      <c r="M13" s="8"/>
      <c r="N13" s="8"/>
      <c r="O13" s="8"/>
      <c r="P13" s="8"/>
    </row>
    <row r="14" spans="1:16">
      <c r="A14" t="s">
        <v>397</v>
      </c>
      <c r="B14">
        <v>9</v>
      </c>
      <c r="C14" t="s">
        <v>398</v>
      </c>
      <c r="D14">
        <v>3</v>
      </c>
      <c r="G14" t="s">
        <v>366</v>
      </c>
      <c r="H14" t="s">
        <v>10</v>
      </c>
      <c r="I14" s="7">
        <v>0.9</v>
      </c>
      <c r="J14" s="7" t="s">
        <v>399</v>
      </c>
      <c r="K14" t="s">
        <v>400</v>
      </c>
      <c r="L14" s="7" t="s">
        <v>401</v>
      </c>
      <c r="M14" t="s">
        <v>399</v>
      </c>
      <c r="N14" t="s">
        <v>402</v>
      </c>
    </row>
    <row r="15" spans="1:16">
      <c r="A15" t="s">
        <v>403</v>
      </c>
      <c r="B15">
        <v>12</v>
      </c>
      <c r="C15" t="s">
        <v>404</v>
      </c>
      <c r="D15">
        <v>4</v>
      </c>
      <c r="G15" t="s">
        <v>405</v>
      </c>
      <c r="H15" t="s">
        <v>10</v>
      </c>
      <c r="I15" s="7">
        <v>0.9</v>
      </c>
      <c r="J15" t="s">
        <v>406</v>
      </c>
      <c r="K15" s="7" t="s">
        <v>407</v>
      </c>
      <c r="L15" s="7" t="s">
        <v>408</v>
      </c>
      <c r="M15" t="s">
        <v>48</v>
      </c>
      <c r="N15" t="s">
        <v>402</v>
      </c>
    </row>
    <row r="16" spans="1:16">
      <c r="A16" t="s">
        <v>409</v>
      </c>
      <c r="B16">
        <v>15</v>
      </c>
      <c r="C16" t="s">
        <v>410</v>
      </c>
      <c r="D16">
        <v>5</v>
      </c>
      <c r="G16" t="s">
        <v>367</v>
      </c>
      <c r="H16" t="s">
        <v>10</v>
      </c>
      <c r="I16" s="7">
        <v>1</v>
      </c>
      <c r="J16" t="s">
        <v>172</v>
      </c>
      <c r="K16" t="s">
        <v>411</v>
      </c>
      <c r="L16" t="s">
        <v>412</v>
      </c>
      <c r="M16" t="s">
        <v>172</v>
      </c>
      <c r="N16" t="s">
        <v>402</v>
      </c>
    </row>
    <row r="17" spans="1:15">
      <c r="G17" t="s">
        <v>413</v>
      </c>
      <c r="H17" t="s">
        <v>10</v>
      </c>
      <c r="I17" s="7">
        <v>1</v>
      </c>
      <c r="J17" t="s">
        <v>414</v>
      </c>
      <c r="K17" t="s">
        <v>93</v>
      </c>
      <c r="L17" s="7" t="s">
        <v>411</v>
      </c>
      <c r="M17" t="s">
        <v>414</v>
      </c>
      <c r="N17" t="s">
        <v>415</v>
      </c>
    </row>
    <row r="18" spans="1:15">
      <c r="G18" t="s">
        <v>370</v>
      </c>
      <c r="H18" t="s">
        <v>11</v>
      </c>
      <c r="I18" s="7">
        <v>0.8</v>
      </c>
      <c r="J18" t="s">
        <v>406</v>
      </c>
      <c r="K18" t="s">
        <v>49</v>
      </c>
    </row>
    <row r="19" spans="1:15">
      <c r="G19" t="s">
        <v>371</v>
      </c>
      <c r="H19" t="s">
        <v>11</v>
      </c>
      <c r="I19" s="7">
        <v>0.9</v>
      </c>
      <c r="J19" t="s">
        <v>416</v>
      </c>
      <c r="K19" t="s">
        <v>49</v>
      </c>
    </row>
    <row r="20" spans="1:15">
      <c r="G20" t="s">
        <v>372</v>
      </c>
      <c r="H20" t="s">
        <v>11</v>
      </c>
      <c r="I20" s="7">
        <v>1</v>
      </c>
      <c r="J20" s="7" t="s">
        <v>417</v>
      </c>
      <c r="K20" t="s">
        <v>49</v>
      </c>
      <c r="M20" s="7"/>
    </row>
    <row r="21" spans="1:15">
      <c r="G21" t="s">
        <v>374</v>
      </c>
      <c r="H21" t="s">
        <v>9</v>
      </c>
      <c r="I21" s="7">
        <v>0.85</v>
      </c>
      <c r="J21" t="s">
        <v>226</v>
      </c>
      <c r="K21" t="s">
        <v>49</v>
      </c>
    </row>
    <row r="22" spans="1:15">
      <c r="G22" t="s">
        <v>375</v>
      </c>
      <c r="H22" t="s">
        <v>9</v>
      </c>
      <c r="I22" s="7">
        <v>1</v>
      </c>
      <c r="J22" t="s">
        <v>418</v>
      </c>
      <c r="K22" t="s">
        <v>49</v>
      </c>
    </row>
    <row r="23" spans="1:15">
      <c r="G23" t="s">
        <v>376</v>
      </c>
      <c r="H23" t="s">
        <v>9</v>
      </c>
      <c r="I23" s="7">
        <v>1.15</v>
      </c>
      <c r="J23" t="s">
        <v>419</v>
      </c>
      <c r="K23" t="s">
        <v>49</v>
      </c>
    </row>
    <row r="24" spans="1:15">
      <c r="G24" t="s">
        <v>378</v>
      </c>
      <c r="H24" t="s">
        <v>13</v>
      </c>
      <c r="I24" s="7">
        <v>1.15</v>
      </c>
      <c r="J24" t="s">
        <v>406</v>
      </c>
      <c r="K24" t="s">
        <v>49</v>
      </c>
    </row>
    <row r="25" spans="1:15">
      <c r="G25" t="s">
        <v>379</v>
      </c>
      <c r="H25" t="s">
        <v>13</v>
      </c>
      <c r="I25" s="7">
        <v>1</v>
      </c>
      <c r="J25" t="s">
        <v>420</v>
      </c>
      <c r="K25" t="s">
        <v>49</v>
      </c>
    </row>
    <row r="26" spans="1:15">
      <c r="A26" t="s">
        <v>421</v>
      </c>
      <c r="B26" t="s">
        <v>385</v>
      </c>
      <c r="C26" t="s">
        <v>321</v>
      </c>
      <c r="D26" t="s">
        <v>128</v>
      </c>
      <c r="G26" t="s">
        <v>380</v>
      </c>
      <c r="H26" t="s">
        <v>13</v>
      </c>
      <c r="I26" s="7">
        <v>0.85</v>
      </c>
      <c r="J26" t="s">
        <v>422</v>
      </c>
      <c r="K26" t="s">
        <v>49</v>
      </c>
    </row>
    <row r="27" spans="1:15">
      <c r="A27" t="s">
        <v>389</v>
      </c>
      <c r="B27">
        <v>3</v>
      </c>
      <c r="C27" t="s">
        <v>423</v>
      </c>
      <c r="D27" t="s">
        <v>424</v>
      </c>
      <c r="G27" t="s">
        <v>425</v>
      </c>
      <c r="H27" t="s">
        <v>12</v>
      </c>
      <c r="J27" t="s">
        <v>401</v>
      </c>
      <c r="K27" t="s">
        <v>113</v>
      </c>
      <c r="L27" t="s">
        <v>109</v>
      </c>
      <c r="M27" t="s">
        <v>123</v>
      </c>
      <c r="N27" t="s">
        <v>124</v>
      </c>
      <c r="O27" t="s">
        <v>78</v>
      </c>
    </row>
    <row r="28" spans="1:15">
      <c r="A28" t="s">
        <v>393</v>
      </c>
      <c r="B28">
        <v>6</v>
      </c>
      <c r="C28" t="s">
        <v>426</v>
      </c>
      <c r="D28" t="s">
        <v>424</v>
      </c>
      <c r="G28" t="s">
        <v>383</v>
      </c>
      <c r="H28" t="s">
        <v>14</v>
      </c>
      <c r="J28" t="s">
        <v>400</v>
      </c>
      <c r="K28" t="s">
        <v>48</v>
      </c>
      <c r="L28" t="s">
        <v>46</v>
      </c>
      <c r="M28" t="s">
        <v>47</v>
      </c>
      <c r="N28" t="s">
        <v>111</v>
      </c>
      <c r="O28" t="s">
        <v>112</v>
      </c>
    </row>
    <row r="29" spans="1:15">
      <c r="A29" t="s">
        <v>397</v>
      </c>
      <c r="B29">
        <v>9</v>
      </c>
      <c r="C29" t="s">
        <v>427</v>
      </c>
      <c r="D29" t="s">
        <v>424</v>
      </c>
    </row>
    <row r="30" spans="1:15">
      <c r="A30" t="s">
        <v>403</v>
      </c>
      <c r="B30">
        <v>12</v>
      </c>
      <c r="C30" t="s">
        <v>428</v>
      </c>
      <c r="D30" t="s">
        <v>424</v>
      </c>
    </row>
    <row r="31" spans="1:15">
      <c r="A31" t="s">
        <v>409</v>
      </c>
      <c r="B31">
        <v>15</v>
      </c>
      <c r="C31" t="s">
        <v>429</v>
      </c>
      <c r="D31" t="s">
        <v>424</v>
      </c>
    </row>
    <row r="32" spans="1:15">
      <c r="G32" t="s">
        <v>430</v>
      </c>
      <c r="M32" s="7"/>
    </row>
    <row r="33" spans="7:32">
      <c r="M33" s="12"/>
      <c r="AF33" s="7"/>
    </row>
    <row r="34" spans="7:32">
      <c r="G34" t="s">
        <v>431</v>
      </c>
      <c r="H34" t="s">
        <v>390</v>
      </c>
      <c r="I34" t="s">
        <v>394</v>
      </c>
      <c r="J34" t="s">
        <v>398</v>
      </c>
      <c r="K34" t="s">
        <v>404</v>
      </c>
      <c r="L34" t="s">
        <v>410</v>
      </c>
      <c r="M34" s="12"/>
      <c r="AF34" s="7"/>
    </row>
    <row r="35" spans="7:32">
      <c r="G35" t="s">
        <v>432</v>
      </c>
      <c r="H35">
        <v>4</v>
      </c>
      <c r="I35">
        <v>5</v>
      </c>
      <c r="J35">
        <v>5</v>
      </c>
      <c r="K35">
        <v>6</v>
      </c>
      <c r="L35">
        <v>6</v>
      </c>
      <c r="M35" s="12"/>
    </row>
    <row r="36" spans="7:32">
      <c r="G36" t="s">
        <v>433</v>
      </c>
      <c r="H36">
        <v>6</v>
      </c>
      <c r="I36">
        <v>7</v>
      </c>
      <c r="J36">
        <v>8</v>
      </c>
      <c r="K36">
        <v>9</v>
      </c>
      <c r="L36">
        <v>10</v>
      </c>
      <c r="M36" s="12"/>
    </row>
    <row r="37" spans="7:32">
      <c r="G37" t="s">
        <v>434</v>
      </c>
      <c r="H37">
        <v>8</v>
      </c>
      <c r="I37">
        <v>9</v>
      </c>
      <c r="J37">
        <v>10</v>
      </c>
      <c r="K37">
        <v>12</v>
      </c>
      <c r="L37">
        <v>13</v>
      </c>
      <c r="M37" s="12"/>
    </row>
    <row r="38" spans="7:32">
      <c r="G38" t="s">
        <v>435</v>
      </c>
      <c r="H38">
        <v>10</v>
      </c>
      <c r="I38">
        <v>12</v>
      </c>
      <c r="J38">
        <v>13</v>
      </c>
      <c r="K38">
        <v>15</v>
      </c>
      <c r="L38">
        <v>16</v>
      </c>
      <c r="M38" s="12"/>
    </row>
    <row r="39" spans="7:32">
      <c r="G39" t="s">
        <v>436</v>
      </c>
      <c r="H39">
        <v>12</v>
      </c>
      <c r="I39">
        <v>14</v>
      </c>
      <c r="J39">
        <v>16</v>
      </c>
      <c r="K39">
        <v>17</v>
      </c>
      <c r="L39">
        <v>19</v>
      </c>
      <c r="M39" s="12"/>
    </row>
    <row r="40" spans="7:32">
      <c r="M40" s="12"/>
    </row>
    <row r="41" spans="7:32">
      <c r="G41" t="s">
        <v>431</v>
      </c>
      <c r="H41" t="s">
        <v>390</v>
      </c>
      <c r="I41" t="s">
        <v>394</v>
      </c>
      <c r="J41" t="s">
        <v>398</v>
      </c>
      <c r="K41" t="s">
        <v>404</v>
      </c>
      <c r="L41" t="s">
        <v>410</v>
      </c>
      <c r="M41" s="12"/>
    </row>
    <row r="42" spans="7:32">
      <c r="G42" t="s">
        <v>432</v>
      </c>
      <c r="H42" t="s">
        <v>382</v>
      </c>
      <c r="I42" t="s">
        <v>382</v>
      </c>
      <c r="J42" t="s">
        <v>382</v>
      </c>
      <c r="K42" t="s">
        <v>382</v>
      </c>
      <c r="L42" t="s">
        <v>382</v>
      </c>
      <c r="M42" s="12"/>
    </row>
    <row r="43" spans="7:32">
      <c r="G43" t="s">
        <v>433</v>
      </c>
      <c r="H43" t="s">
        <v>382</v>
      </c>
      <c r="I43" t="s">
        <v>382</v>
      </c>
      <c r="J43">
        <v>4</v>
      </c>
      <c r="K43">
        <v>5</v>
      </c>
      <c r="L43">
        <v>6</v>
      </c>
      <c r="M43" s="12"/>
    </row>
    <row r="44" spans="7:32">
      <c r="G44" t="s">
        <v>434</v>
      </c>
      <c r="H44" t="s">
        <v>382</v>
      </c>
      <c r="I44" t="s">
        <v>382</v>
      </c>
      <c r="J44">
        <v>6</v>
      </c>
      <c r="K44">
        <v>7</v>
      </c>
      <c r="L44">
        <v>8</v>
      </c>
      <c r="M44" s="12"/>
    </row>
    <row r="45" spans="7:32">
      <c r="G45" t="s">
        <v>435</v>
      </c>
      <c r="H45" t="s">
        <v>382</v>
      </c>
      <c r="I45" t="s">
        <v>382</v>
      </c>
      <c r="J45">
        <v>8</v>
      </c>
      <c r="K45">
        <v>9</v>
      </c>
      <c r="L45">
        <v>10</v>
      </c>
      <c r="M45" s="12"/>
    </row>
    <row r="46" spans="7:32">
      <c r="G46" t="s">
        <v>436</v>
      </c>
      <c r="H46" t="s">
        <v>382</v>
      </c>
      <c r="I46" t="s">
        <v>382</v>
      </c>
      <c r="J46">
        <v>10</v>
      </c>
      <c r="K46">
        <v>11</v>
      </c>
      <c r="L46">
        <v>12</v>
      </c>
      <c r="M46" s="12"/>
    </row>
    <row r="50" spans="1:32">
      <c r="A50" t="s">
        <v>437</v>
      </c>
      <c r="G50" t="s">
        <v>366</v>
      </c>
      <c r="H50" t="s">
        <v>367</v>
      </c>
      <c r="I50" t="s">
        <v>405</v>
      </c>
      <c r="J50" t="s">
        <v>413</v>
      </c>
      <c r="K50" t="s">
        <v>370</v>
      </c>
      <c r="L50" t="s">
        <v>371</v>
      </c>
      <c r="M50" t="s">
        <v>372</v>
      </c>
      <c r="N50" t="s">
        <v>374</v>
      </c>
      <c r="O50" t="s">
        <v>375</v>
      </c>
      <c r="P50" t="s">
        <v>376</v>
      </c>
      <c r="Q50" t="s">
        <v>438</v>
      </c>
      <c r="R50" t="s">
        <v>439</v>
      </c>
      <c r="S50" t="s">
        <v>380</v>
      </c>
      <c r="T50" t="s">
        <v>381</v>
      </c>
      <c r="U50" t="s">
        <v>383</v>
      </c>
    </row>
    <row r="51" spans="1:32">
      <c r="A51">
        <v>1</v>
      </c>
      <c r="B51" t="s">
        <v>440</v>
      </c>
      <c r="G51" t="s">
        <v>0</v>
      </c>
      <c r="H51" t="s">
        <v>0</v>
      </c>
      <c r="I51" t="s">
        <v>0</v>
      </c>
      <c r="J51" t="s">
        <v>0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0</v>
      </c>
      <c r="U51" t="s">
        <v>0</v>
      </c>
    </row>
    <row r="52" spans="1:32">
      <c r="A52">
        <v>2</v>
      </c>
      <c r="B52" t="s">
        <v>306</v>
      </c>
      <c r="G52" t="s">
        <v>99</v>
      </c>
      <c r="H52" t="s">
        <v>99</v>
      </c>
      <c r="I52" t="s">
        <v>99</v>
      </c>
      <c r="J52" t="s">
        <v>99</v>
      </c>
      <c r="K52" t="s">
        <v>105</v>
      </c>
      <c r="L52" t="s">
        <v>105</v>
      </c>
      <c r="M52" t="s">
        <v>105</v>
      </c>
      <c r="N52" t="s">
        <v>105</v>
      </c>
      <c r="O52" t="s">
        <v>105</v>
      </c>
      <c r="P52" t="s">
        <v>105</v>
      </c>
      <c r="Q52" t="s">
        <v>105</v>
      </c>
      <c r="R52" t="s">
        <v>105</v>
      </c>
      <c r="S52" t="s">
        <v>105</v>
      </c>
      <c r="T52" t="s">
        <v>99</v>
      </c>
      <c r="U52" t="s">
        <v>99</v>
      </c>
    </row>
    <row r="53" spans="1:32">
      <c r="A53">
        <v>3</v>
      </c>
      <c r="B53" t="s">
        <v>441</v>
      </c>
      <c r="G53" t="s">
        <v>442</v>
      </c>
      <c r="H53" t="s">
        <v>442</v>
      </c>
      <c r="I53" t="s">
        <v>442</v>
      </c>
      <c r="J53" t="s">
        <v>442</v>
      </c>
      <c r="K53" t="s">
        <v>443</v>
      </c>
      <c r="L53" t="s">
        <v>443</v>
      </c>
      <c r="M53" t="s">
        <v>443</v>
      </c>
      <c r="N53" t="s">
        <v>443</v>
      </c>
      <c r="O53" t="s">
        <v>443</v>
      </c>
      <c r="P53" t="s">
        <v>443</v>
      </c>
      <c r="Q53" t="s">
        <v>443</v>
      </c>
      <c r="R53" t="s">
        <v>443</v>
      </c>
      <c r="S53" t="s">
        <v>443</v>
      </c>
      <c r="T53" t="s">
        <v>442</v>
      </c>
      <c r="U53" t="s">
        <v>442</v>
      </c>
    </row>
    <row r="54" spans="1:32">
      <c r="A54">
        <v>4</v>
      </c>
      <c r="B54" t="s">
        <v>444</v>
      </c>
      <c r="G54" t="s">
        <v>87</v>
      </c>
      <c r="H54" t="s">
        <v>87</v>
      </c>
      <c r="I54" t="s">
        <v>87</v>
      </c>
      <c r="J54" t="s">
        <v>87</v>
      </c>
      <c r="K54" t="s">
        <v>89</v>
      </c>
      <c r="L54" t="s">
        <v>89</v>
      </c>
      <c r="M54" t="s">
        <v>89</v>
      </c>
      <c r="N54" t="s">
        <v>89</v>
      </c>
      <c r="O54" t="s">
        <v>89</v>
      </c>
      <c r="P54" t="s">
        <v>89</v>
      </c>
      <c r="Q54" t="s">
        <v>89</v>
      </c>
      <c r="R54" t="s">
        <v>89</v>
      </c>
      <c r="S54" t="s">
        <v>89</v>
      </c>
      <c r="T54" t="s">
        <v>87</v>
      </c>
      <c r="U54" t="s">
        <v>87</v>
      </c>
    </row>
    <row r="55" spans="1:32">
      <c r="A55">
        <v>5</v>
      </c>
      <c r="B55" t="s">
        <v>430</v>
      </c>
      <c r="G55" t="s">
        <v>445</v>
      </c>
      <c r="H55" t="s">
        <v>445</v>
      </c>
      <c r="I55" t="s">
        <v>445</v>
      </c>
      <c r="J55" t="s">
        <v>445</v>
      </c>
      <c r="K55" t="s">
        <v>446</v>
      </c>
      <c r="L55" t="s">
        <v>446</v>
      </c>
      <c r="M55" t="s">
        <v>446</v>
      </c>
      <c r="N55" t="s">
        <v>446</v>
      </c>
      <c r="O55" t="s">
        <v>446</v>
      </c>
      <c r="P55" t="s">
        <v>446</v>
      </c>
      <c r="Q55" t="s">
        <v>446</v>
      </c>
      <c r="R55" t="s">
        <v>446</v>
      </c>
      <c r="S55" t="s">
        <v>446</v>
      </c>
      <c r="T55" t="s">
        <v>445</v>
      </c>
      <c r="U55" t="s">
        <v>445</v>
      </c>
    </row>
    <row r="62" spans="1:32">
      <c r="AF62" s="12"/>
    </row>
    <row r="63" spans="1:32">
      <c r="AF63" s="12"/>
    </row>
  </sheetData>
  <mergeCells count="2">
    <mergeCell ref="J12:N12"/>
    <mergeCell ref="K13:P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topLeftCell="A25" workbookViewId="0">
      <selection activeCell="A9" sqref="A9:F36"/>
    </sheetView>
  </sheetViews>
  <sheetFormatPr defaultColWidth="9" defaultRowHeight="13.5" outlineLevelCol="5"/>
  <cols>
    <col min="1" max="1" width="13.4416666666667" customWidth="1"/>
    <col min="2" max="2" width="86.1083333333333" customWidth="1"/>
  </cols>
  <sheetData>
    <row r="1" spans="1:6">
      <c r="A1" t="s">
        <v>447</v>
      </c>
    </row>
    <row r="2" spans="1:6">
      <c r="A2" t="s">
        <v>448</v>
      </c>
    </row>
    <row r="3" spans="1:6">
      <c r="A3" t="s">
        <v>449</v>
      </c>
    </row>
    <row r="4" spans="1:6">
      <c r="A4" t="s">
        <v>450</v>
      </c>
    </row>
    <row r="7" spans="1:6">
      <c r="C7" s="8" t="s">
        <v>451</v>
      </c>
      <c r="D7" s="8">
        <v>50</v>
      </c>
      <c r="E7" s="8"/>
      <c r="F7" s="8"/>
    </row>
    <row r="8" spans="1:6">
      <c r="C8" s="8"/>
      <c r="D8" t="s">
        <v>452</v>
      </c>
      <c r="E8" t="s">
        <v>453</v>
      </c>
    </row>
    <row r="9" spans="1:6">
      <c r="A9" s="8" t="s">
        <v>325</v>
      </c>
      <c r="B9" s="9" t="s">
        <v>454</v>
      </c>
      <c r="C9" s="8" t="s">
        <v>455</v>
      </c>
      <c r="D9">
        <v>1</v>
      </c>
      <c r="E9">
        <v>0.1</v>
      </c>
      <c r="F9">
        <f>D9+E9*$D$7</f>
        <v>6</v>
      </c>
    </row>
    <row r="10" spans="1:6">
      <c r="A10" s="8"/>
      <c r="B10" s="9"/>
      <c r="C10" s="8" t="s">
        <v>456</v>
      </c>
      <c r="D10">
        <v>10</v>
      </c>
      <c r="E10">
        <v>0.2</v>
      </c>
      <c r="F10">
        <f t="shared" ref="F10:F41" si="0">D10+E10*$D$7</f>
        <v>20</v>
      </c>
    </row>
    <row r="11" spans="1:6">
      <c r="A11" s="8"/>
      <c r="B11" s="8" t="s">
        <v>457</v>
      </c>
      <c r="C11" s="8" t="s">
        <v>455</v>
      </c>
      <c r="D11">
        <v>1</v>
      </c>
      <c r="E11">
        <v>0.06</v>
      </c>
      <c r="F11">
        <f t="shared" si="0"/>
        <v>4</v>
      </c>
    </row>
    <row r="12" spans="1:6">
      <c r="A12" s="8"/>
      <c r="B12" s="8"/>
      <c r="C12" s="8" t="s">
        <v>456</v>
      </c>
      <c r="D12">
        <v>4</v>
      </c>
      <c r="E12">
        <v>0.12</v>
      </c>
      <c r="F12">
        <f t="shared" si="0"/>
        <v>10</v>
      </c>
    </row>
    <row r="13" spans="1:6">
      <c r="A13" s="8"/>
      <c r="B13" s="8" t="s">
        <v>458</v>
      </c>
      <c r="C13" s="8" t="s">
        <v>455</v>
      </c>
      <c r="D13">
        <v>1</v>
      </c>
      <c r="E13">
        <v>0.04</v>
      </c>
      <c r="F13">
        <f t="shared" si="0"/>
        <v>3</v>
      </c>
    </row>
    <row r="14" spans="1:6">
      <c r="A14" s="8"/>
      <c r="B14" s="8"/>
      <c r="C14" s="8" t="s">
        <v>456</v>
      </c>
      <c r="D14">
        <v>3</v>
      </c>
      <c r="E14">
        <v>0.06</v>
      </c>
      <c r="F14">
        <f t="shared" si="0"/>
        <v>6</v>
      </c>
    </row>
    <row r="15" spans="1:6">
      <c r="A15" s="8"/>
      <c r="B15" s="8" t="s">
        <v>459</v>
      </c>
      <c r="C15" s="8" t="s">
        <v>455</v>
      </c>
      <c r="D15">
        <v>1</v>
      </c>
      <c r="E15">
        <v>0.06</v>
      </c>
      <c r="F15">
        <f t="shared" si="0"/>
        <v>4</v>
      </c>
    </row>
    <row r="16" spans="1:6">
      <c r="A16" s="8"/>
      <c r="B16" s="8"/>
      <c r="C16" s="8" t="s">
        <v>456</v>
      </c>
      <c r="D16">
        <v>3</v>
      </c>
      <c r="E16">
        <v>0.1</v>
      </c>
      <c r="F16">
        <f t="shared" si="0"/>
        <v>8</v>
      </c>
    </row>
    <row r="17" spans="1:6">
      <c r="A17" s="8"/>
      <c r="B17" s="8" t="s">
        <v>460</v>
      </c>
      <c r="C17" s="8" t="s">
        <v>455</v>
      </c>
      <c r="D17">
        <v>1</v>
      </c>
      <c r="E17">
        <v>0.06</v>
      </c>
      <c r="F17">
        <f t="shared" si="0"/>
        <v>4</v>
      </c>
    </row>
    <row r="18" spans="1:6">
      <c r="A18" s="8"/>
      <c r="B18" s="8"/>
      <c r="C18" s="8" t="s">
        <v>456</v>
      </c>
      <c r="D18">
        <v>4</v>
      </c>
      <c r="E18">
        <v>0.12</v>
      </c>
      <c r="F18">
        <f t="shared" si="0"/>
        <v>10</v>
      </c>
    </row>
    <row r="19" spans="1:6">
      <c r="A19" s="8"/>
      <c r="B19" s="8" t="s">
        <v>46</v>
      </c>
      <c r="C19" s="8" t="s">
        <v>455</v>
      </c>
      <c r="D19">
        <v>3</v>
      </c>
      <c r="E19">
        <v>0.06</v>
      </c>
      <c r="F19">
        <f t="shared" si="0"/>
        <v>6</v>
      </c>
    </row>
    <row r="20" spans="1:6">
      <c r="A20" s="8"/>
      <c r="B20" s="8"/>
      <c r="C20" s="8" t="s">
        <v>456</v>
      </c>
      <c r="D20">
        <v>8</v>
      </c>
      <c r="E20">
        <v>0.12</v>
      </c>
      <c r="F20">
        <f t="shared" si="0"/>
        <v>14</v>
      </c>
    </row>
    <row r="21" spans="1:6">
      <c r="A21" s="8"/>
      <c r="B21" s="8" t="s">
        <v>461</v>
      </c>
      <c r="C21" s="8" t="s">
        <v>455</v>
      </c>
      <c r="D21">
        <v>1</v>
      </c>
      <c r="E21">
        <v>0.1</v>
      </c>
      <c r="F21">
        <f t="shared" si="0"/>
        <v>6</v>
      </c>
    </row>
    <row r="22" spans="1:6">
      <c r="A22" s="8"/>
      <c r="B22" s="8"/>
      <c r="C22" s="8" t="s">
        <v>456</v>
      </c>
      <c r="D22">
        <v>10</v>
      </c>
      <c r="E22">
        <v>0.2</v>
      </c>
      <c r="F22">
        <f t="shared" si="0"/>
        <v>20</v>
      </c>
    </row>
    <row r="23" spans="1:6">
      <c r="A23" s="8"/>
      <c r="B23" s="8" t="s">
        <v>462</v>
      </c>
      <c r="C23" s="8" t="s">
        <v>455</v>
      </c>
      <c r="D23">
        <v>1</v>
      </c>
      <c r="E23">
        <v>0.04</v>
      </c>
      <c r="F23">
        <f t="shared" si="0"/>
        <v>3</v>
      </c>
    </row>
    <row r="24" spans="1:6">
      <c r="A24" s="8"/>
      <c r="B24" s="8"/>
      <c r="C24" s="8" t="s">
        <v>456</v>
      </c>
      <c r="D24">
        <v>3</v>
      </c>
      <c r="E24">
        <v>0.06</v>
      </c>
      <c r="F24">
        <f t="shared" si="0"/>
        <v>6</v>
      </c>
    </row>
    <row r="25" spans="1:6">
      <c r="A25" s="8"/>
      <c r="B25" s="8" t="s">
        <v>112</v>
      </c>
      <c r="C25" s="8" t="s">
        <v>455</v>
      </c>
      <c r="D25">
        <v>1</v>
      </c>
      <c r="E25">
        <v>0.06</v>
      </c>
      <c r="F25">
        <f t="shared" si="0"/>
        <v>4</v>
      </c>
    </row>
    <row r="26" spans="1:6">
      <c r="A26" s="8"/>
      <c r="B26" s="8"/>
      <c r="C26" s="8" t="s">
        <v>456</v>
      </c>
      <c r="D26">
        <v>4</v>
      </c>
      <c r="E26">
        <v>0.12</v>
      </c>
      <c r="F26">
        <f t="shared" si="0"/>
        <v>10</v>
      </c>
    </row>
    <row r="27" spans="1:6">
      <c r="A27" s="8"/>
      <c r="B27" s="8" t="s">
        <v>62</v>
      </c>
      <c r="C27" s="8" t="s">
        <v>455</v>
      </c>
      <c r="D27">
        <v>1</v>
      </c>
      <c r="E27">
        <v>0.06</v>
      </c>
      <c r="F27">
        <f t="shared" si="0"/>
        <v>4</v>
      </c>
    </row>
    <row r="28" spans="1:6">
      <c r="A28" s="8"/>
      <c r="B28" s="8"/>
      <c r="C28" s="8" t="s">
        <v>456</v>
      </c>
      <c r="D28">
        <v>3</v>
      </c>
      <c r="E28">
        <v>0.1</v>
      </c>
      <c r="F28">
        <f t="shared" si="0"/>
        <v>8</v>
      </c>
    </row>
    <row r="29" spans="1:6">
      <c r="A29" s="8"/>
      <c r="B29" s="8" t="s">
        <v>463</v>
      </c>
      <c r="C29" s="8" t="s">
        <v>455</v>
      </c>
      <c r="D29">
        <v>1</v>
      </c>
      <c r="E29">
        <v>0.04</v>
      </c>
      <c r="F29">
        <f t="shared" si="0"/>
        <v>3</v>
      </c>
    </row>
    <row r="30" spans="1:6">
      <c r="A30" s="8"/>
      <c r="B30" s="8"/>
      <c r="C30" s="8" t="s">
        <v>456</v>
      </c>
      <c r="D30">
        <v>3</v>
      </c>
      <c r="E30">
        <v>0.06</v>
      </c>
      <c r="F30">
        <f t="shared" si="0"/>
        <v>6</v>
      </c>
    </row>
    <row r="31" spans="1:6">
      <c r="A31" s="8"/>
      <c r="B31" s="8" t="s">
        <v>70</v>
      </c>
      <c r="C31" s="8" t="s">
        <v>455</v>
      </c>
      <c r="D31">
        <v>1</v>
      </c>
      <c r="E31">
        <v>0.02</v>
      </c>
      <c r="F31">
        <f t="shared" si="0"/>
        <v>2</v>
      </c>
    </row>
    <row r="32" spans="1:6">
      <c r="A32" s="8"/>
      <c r="B32" s="8"/>
      <c r="C32" s="8" t="s">
        <v>456</v>
      </c>
      <c r="D32">
        <v>3</v>
      </c>
      <c r="E32">
        <v>0.04</v>
      </c>
      <c r="F32">
        <f t="shared" si="0"/>
        <v>5</v>
      </c>
    </row>
    <row r="33" spans="1:6">
      <c r="A33" s="8"/>
      <c r="B33" s="8" t="s">
        <v>111</v>
      </c>
      <c r="C33" s="8" t="s">
        <v>455</v>
      </c>
      <c r="D33">
        <v>5</v>
      </c>
      <c r="E33">
        <v>0.1</v>
      </c>
      <c r="F33">
        <f t="shared" si="0"/>
        <v>10</v>
      </c>
    </row>
    <row r="34" spans="1:6">
      <c r="A34" s="8"/>
      <c r="B34" s="8"/>
      <c r="C34" s="8" t="s">
        <v>456</v>
      </c>
      <c r="D34">
        <v>15</v>
      </c>
      <c r="E34">
        <v>0.2</v>
      </c>
      <c r="F34">
        <f t="shared" si="0"/>
        <v>25</v>
      </c>
    </row>
    <row r="35" spans="1:6">
      <c r="A35" s="8"/>
      <c r="B35" s="8" t="s">
        <v>110</v>
      </c>
      <c r="C35" s="8" t="s">
        <v>455</v>
      </c>
      <c r="D35">
        <v>3</v>
      </c>
      <c r="E35">
        <v>0.06</v>
      </c>
      <c r="F35">
        <f t="shared" si="0"/>
        <v>6</v>
      </c>
    </row>
    <row r="36" spans="1:6">
      <c r="A36" s="8"/>
      <c r="B36" s="8"/>
      <c r="C36" s="8" t="s">
        <v>456</v>
      </c>
      <c r="D36">
        <v>8</v>
      </c>
      <c r="E36">
        <v>0.12</v>
      </c>
      <c r="F36">
        <f t="shared" si="0"/>
        <v>14</v>
      </c>
    </row>
    <row r="37" spans="1:6">
      <c r="A37" s="8" t="s">
        <v>464</v>
      </c>
      <c r="B37" s="9" t="s">
        <v>454</v>
      </c>
      <c r="C37" s="8" t="s">
        <v>455</v>
      </c>
      <c r="D37">
        <v>6</v>
      </c>
      <c r="E37">
        <v>0.16</v>
      </c>
      <c r="F37">
        <f t="shared" si="0"/>
        <v>14</v>
      </c>
    </row>
    <row r="38" spans="1:6">
      <c r="A38" s="8"/>
      <c r="B38" s="9"/>
      <c r="C38" s="8" t="s">
        <v>456</v>
      </c>
      <c r="D38">
        <v>15</v>
      </c>
      <c r="E38">
        <v>0.3</v>
      </c>
      <c r="F38">
        <f t="shared" si="0"/>
        <v>30</v>
      </c>
    </row>
    <row r="39" spans="1:6">
      <c r="A39" s="8"/>
      <c r="B39" s="8" t="s">
        <v>457</v>
      </c>
      <c r="C39" s="8" t="s">
        <v>455</v>
      </c>
      <c r="D39">
        <v>1</v>
      </c>
      <c r="E39">
        <v>0.06</v>
      </c>
      <c r="F39">
        <f t="shared" si="0"/>
        <v>4</v>
      </c>
    </row>
    <row r="40" spans="1:6">
      <c r="A40" s="8"/>
      <c r="B40" s="8"/>
      <c r="C40" s="8" t="s">
        <v>456</v>
      </c>
      <c r="D40">
        <v>4</v>
      </c>
      <c r="E40">
        <v>0.12</v>
      </c>
      <c r="F40">
        <f t="shared" si="0"/>
        <v>10</v>
      </c>
    </row>
    <row r="41" spans="1:6">
      <c r="A41" s="8"/>
      <c r="B41" s="8" t="s">
        <v>458</v>
      </c>
      <c r="C41" s="8" t="s">
        <v>455</v>
      </c>
      <c r="D41">
        <v>1</v>
      </c>
      <c r="E41">
        <v>0.04</v>
      </c>
      <c r="F41">
        <f t="shared" si="0"/>
        <v>3</v>
      </c>
    </row>
    <row r="42" spans="1:6">
      <c r="A42" s="8"/>
      <c r="B42" s="8"/>
      <c r="C42" s="8" t="s">
        <v>456</v>
      </c>
      <c r="D42">
        <v>3</v>
      </c>
      <c r="E42">
        <v>0.06</v>
      </c>
      <c r="F42">
        <f t="shared" ref="F42:F64" si="1">D42+E42*$D$7</f>
        <v>6</v>
      </c>
    </row>
    <row r="43" spans="1:6">
      <c r="A43" s="8"/>
      <c r="B43" s="8" t="s">
        <v>459</v>
      </c>
      <c r="C43" s="8" t="s">
        <v>455</v>
      </c>
      <c r="D43">
        <v>1</v>
      </c>
      <c r="E43">
        <v>0.06</v>
      </c>
      <c r="F43">
        <f t="shared" si="1"/>
        <v>4</v>
      </c>
    </row>
    <row r="44" spans="1:6">
      <c r="A44" s="8"/>
      <c r="B44" s="8"/>
      <c r="C44" s="8" t="s">
        <v>456</v>
      </c>
      <c r="D44">
        <v>3</v>
      </c>
      <c r="E44">
        <v>0.1</v>
      </c>
      <c r="F44">
        <f t="shared" si="1"/>
        <v>8</v>
      </c>
    </row>
    <row r="45" spans="1:6">
      <c r="A45" s="8"/>
      <c r="B45" s="8" t="s">
        <v>460</v>
      </c>
      <c r="C45" s="8" t="s">
        <v>455</v>
      </c>
      <c r="D45">
        <v>1</v>
      </c>
      <c r="E45">
        <v>0.06</v>
      </c>
      <c r="F45">
        <f t="shared" si="1"/>
        <v>4</v>
      </c>
    </row>
    <row r="46" spans="1:6">
      <c r="A46" s="8"/>
      <c r="B46" s="8"/>
      <c r="C46" s="8" t="s">
        <v>456</v>
      </c>
      <c r="D46">
        <v>4</v>
      </c>
      <c r="E46">
        <v>0.12</v>
      </c>
      <c r="F46">
        <f t="shared" si="1"/>
        <v>10</v>
      </c>
    </row>
    <row r="47" spans="1:6">
      <c r="A47" s="8"/>
      <c r="B47" s="8" t="s">
        <v>46</v>
      </c>
      <c r="C47" s="8" t="s">
        <v>455</v>
      </c>
      <c r="D47">
        <v>3</v>
      </c>
      <c r="E47">
        <v>0.06</v>
      </c>
      <c r="F47">
        <f t="shared" si="1"/>
        <v>6</v>
      </c>
    </row>
    <row r="48" spans="1:6">
      <c r="A48" s="8"/>
      <c r="B48" s="8"/>
      <c r="C48" s="8" t="s">
        <v>456</v>
      </c>
      <c r="D48">
        <v>8</v>
      </c>
      <c r="E48">
        <v>0.12</v>
      </c>
      <c r="F48">
        <f t="shared" si="1"/>
        <v>14</v>
      </c>
    </row>
    <row r="49" spans="1:6">
      <c r="A49" s="8"/>
      <c r="B49" s="8" t="s">
        <v>461</v>
      </c>
      <c r="C49" s="8" t="s">
        <v>455</v>
      </c>
      <c r="D49">
        <v>1</v>
      </c>
      <c r="E49">
        <v>0.1</v>
      </c>
      <c r="F49">
        <f t="shared" si="1"/>
        <v>6</v>
      </c>
    </row>
    <row r="50" spans="1:6">
      <c r="A50" s="8"/>
      <c r="B50" s="8"/>
      <c r="C50" s="8" t="s">
        <v>456</v>
      </c>
      <c r="D50">
        <v>10</v>
      </c>
      <c r="E50">
        <v>0.2</v>
      </c>
      <c r="F50">
        <f t="shared" si="1"/>
        <v>20</v>
      </c>
    </row>
    <row r="51" spans="1:6">
      <c r="A51" s="8"/>
      <c r="B51" s="8" t="s">
        <v>462</v>
      </c>
      <c r="C51" s="8" t="s">
        <v>455</v>
      </c>
      <c r="D51">
        <v>1</v>
      </c>
      <c r="E51">
        <v>0.04</v>
      </c>
      <c r="F51">
        <f t="shared" si="1"/>
        <v>3</v>
      </c>
    </row>
    <row r="52" spans="1:6">
      <c r="A52" s="8"/>
      <c r="B52" s="8"/>
      <c r="C52" s="8" t="s">
        <v>456</v>
      </c>
      <c r="D52">
        <v>3</v>
      </c>
      <c r="E52">
        <v>0.06</v>
      </c>
      <c r="F52">
        <f t="shared" si="1"/>
        <v>6</v>
      </c>
    </row>
    <row r="53" spans="1:6">
      <c r="A53" s="8"/>
      <c r="B53" s="8" t="s">
        <v>112</v>
      </c>
      <c r="C53" s="8" t="s">
        <v>455</v>
      </c>
      <c r="D53">
        <v>1</v>
      </c>
      <c r="E53">
        <v>0.06</v>
      </c>
      <c r="F53">
        <f t="shared" si="1"/>
        <v>4</v>
      </c>
    </row>
    <row r="54" spans="1:6">
      <c r="A54" s="8"/>
      <c r="B54" s="8"/>
      <c r="C54" s="8" t="s">
        <v>456</v>
      </c>
      <c r="D54">
        <v>4</v>
      </c>
      <c r="E54">
        <v>0.12</v>
      </c>
      <c r="F54">
        <f t="shared" si="1"/>
        <v>10</v>
      </c>
    </row>
    <row r="55" spans="1:6">
      <c r="A55" s="8"/>
      <c r="B55" s="8" t="s">
        <v>62</v>
      </c>
      <c r="C55" s="8" t="s">
        <v>455</v>
      </c>
      <c r="D55">
        <v>1</v>
      </c>
      <c r="E55">
        <v>0.06</v>
      </c>
      <c r="F55">
        <f t="shared" si="1"/>
        <v>4</v>
      </c>
    </row>
    <row r="56" spans="1:6">
      <c r="A56" s="8"/>
      <c r="B56" s="8"/>
      <c r="C56" s="8" t="s">
        <v>456</v>
      </c>
      <c r="D56">
        <v>3</v>
      </c>
      <c r="E56">
        <v>0.1</v>
      </c>
      <c r="F56">
        <f t="shared" si="1"/>
        <v>8</v>
      </c>
    </row>
    <row r="57" spans="1:6">
      <c r="A57" s="8"/>
      <c r="B57" s="8" t="s">
        <v>463</v>
      </c>
      <c r="C57" s="8" t="s">
        <v>455</v>
      </c>
      <c r="D57">
        <v>1</v>
      </c>
      <c r="E57">
        <v>0.04</v>
      </c>
      <c r="F57">
        <f t="shared" si="1"/>
        <v>3</v>
      </c>
    </row>
    <row r="58" spans="1:6">
      <c r="A58" s="8"/>
      <c r="B58" s="8"/>
      <c r="C58" s="8" t="s">
        <v>456</v>
      </c>
      <c r="D58">
        <v>3</v>
      </c>
      <c r="E58">
        <v>0.06</v>
      </c>
      <c r="F58">
        <f t="shared" si="1"/>
        <v>6</v>
      </c>
    </row>
    <row r="59" spans="1:6">
      <c r="A59" s="8"/>
      <c r="B59" s="8" t="s">
        <v>70</v>
      </c>
      <c r="C59" s="8" t="s">
        <v>455</v>
      </c>
      <c r="D59">
        <v>1</v>
      </c>
      <c r="E59">
        <v>0.02</v>
      </c>
      <c r="F59">
        <f t="shared" si="1"/>
        <v>2</v>
      </c>
    </row>
    <row r="60" spans="1:6">
      <c r="A60" s="8"/>
      <c r="B60" s="8"/>
      <c r="C60" s="8" t="s">
        <v>456</v>
      </c>
      <c r="D60">
        <v>3</v>
      </c>
      <c r="E60">
        <v>0.04</v>
      </c>
      <c r="F60">
        <f t="shared" si="1"/>
        <v>5</v>
      </c>
    </row>
    <row r="61" spans="1:6">
      <c r="A61" s="8"/>
      <c r="B61" s="8" t="s">
        <v>111</v>
      </c>
      <c r="C61" s="8" t="s">
        <v>455</v>
      </c>
      <c r="D61">
        <v>5</v>
      </c>
      <c r="E61">
        <v>0.1</v>
      </c>
      <c r="F61">
        <f t="shared" si="1"/>
        <v>10</v>
      </c>
    </row>
    <row r="62" spans="1:6">
      <c r="A62" s="8"/>
      <c r="B62" s="8"/>
      <c r="C62" s="8" t="s">
        <v>456</v>
      </c>
      <c r="D62">
        <v>15</v>
      </c>
      <c r="E62">
        <v>0.2</v>
      </c>
      <c r="F62">
        <f t="shared" si="1"/>
        <v>25</v>
      </c>
    </row>
    <row r="63" spans="1:6">
      <c r="A63" s="8"/>
      <c r="B63" s="8" t="s">
        <v>110</v>
      </c>
      <c r="C63" s="8" t="s">
        <v>455</v>
      </c>
      <c r="D63">
        <v>3</v>
      </c>
      <c r="E63">
        <v>0.06</v>
      </c>
      <c r="F63">
        <f t="shared" si="1"/>
        <v>6</v>
      </c>
    </row>
    <row r="64" spans="1:6">
      <c r="A64" s="8"/>
      <c r="B64" s="8"/>
      <c r="C64" s="8" t="s">
        <v>456</v>
      </c>
      <c r="D64">
        <v>8</v>
      </c>
      <c r="E64">
        <v>0.12</v>
      </c>
      <c r="F64">
        <f t="shared" si="1"/>
        <v>14</v>
      </c>
    </row>
  </sheetData>
  <mergeCells count="31">
    <mergeCell ref="D7:F7"/>
    <mergeCell ref="A9:A36"/>
    <mergeCell ref="A37:A64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workbookViewId="0">
      <selection activeCell="J99" sqref="J99"/>
    </sheetView>
  </sheetViews>
  <sheetFormatPr defaultColWidth="9" defaultRowHeight="13.5" outlineLevelCol="5"/>
  <cols>
    <col min="3" max="3" width="93.2166666666667" customWidth="1"/>
  </cols>
  <sheetData>
    <row r="1" spans="1:5">
      <c r="A1" t="s">
        <v>465</v>
      </c>
      <c r="B1" t="s">
        <v>466</v>
      </c>
      <c r="C1" t="s">
        <v>467</v>
      </c>
      <c r="D1" t="s">
        <v>384</v>
      </c>
      <c r="E1" t="s">
        <v>468</v>
      </c>
    </row>
    <row r="2" spans="1:5">
      <c r="A2">
        <v>1</v>
      </c>
      <c r="B2" t="s">
        <v>469</v>
      </c>
      <c r="C2" t="s">
        <v>470</v>
      </c>
      <c r="D2" t="s">
        <v>471</v>
      </c>
      <c r="E2" t="s">
        <v>472</v>
      </c>
    </row>
    <row r="3" spans="1:5">
      <c r="A3">
        <v>2</v>
      </c>
      <c r="B3" t="s">
        <v>473</v>
      </c>
      <c r="C3" t="s">
        <v>474</v>
      </c>
      <c r="D3" t="s">
        <v>471</v>
      </c>
      <c r="E3" t="s">
        <v>472</v>
      </c>
    </row>
    <row r="4" spans="1:5">
      <c r="A4">
        <v>3</v>
      </c>
      <c r="B4" t="s">
        <v>475</v>
      </c>
      <c r="C4" t="s">
        <v>476</v>
      </c>
      <c r="D4" t="s">
        <v>477</v>
      </c>
      <c r="E4" t="s">
        <v>472</v>
      </c>
    </row>
    <row r="5" spans="1:5">
      <c r="A5">
        <v>4</v>
      </c>
      <c r="B5" t="s">
        <v>478</v>
      </c>
      <c r="C5" t="s">
        <v>479</v>
      </c>
      <c r="D5" t="s">
        <v>471</v>
      </c>
      <c r="E5" t="s">
        <v>472</v>
      </c>
    </row>
    <row r="6" spans="1:5">
      <c r="A6">
        <v>5</v>
      </c>
      <c r="B6" t="s">
        <v>480</v>
      </c>
      <c r="C6" t="s">
        <v>481</v>
      </c>
      <c r="D6" t="s">
        <v>482</v>
      </c>
      <c r="E6" t="s">
        <v>472</v>
      </c>
    </row>
    <row r="9" spans="1:5">
      <c r="A9" t="s">
        <v>465</v>
      </c>
      <c r="B9" t="s">
        <v>466</v>
      </c>
      <c r="C9" t="s">
        <v>467</v>
      </c>
      <c r="D9" t="s">
        <v>384</v>
      </c>
      <c r="E9" t="s">
        <v>468</v>
      </c>
    </row>
    <row r="10" spans="1:5">
      <c r="A10">
        <v>6</v>
      </c>
      <c r="B10" t="s">
        <v>483</v>
      </c>
      <c r="C10" t="s">
        <v>484</v>
      </c>
      <c r="D10" t="s">
        <v>471</v>
      </c>
      <c r="E10" t="s">
        <v>485</v>
      </c>
    </row>
    <row r="11" spans="1:5">
      <c r="A11">
        <v>7</v>
      </c>
      <c r="B11" t="s">
        <v>486</v>
      </c>
      <c r="C11" t="s">
        <v>487</v>
      </c>
      <c r="D11" t="s">
        <v>471</v>
      </c>
      <c r="E11" t="s">
        <v>485</v>
      </c>
    </row>
    <row r="12" spans="1:5">
      <c r="A12">
        <v>8</v>
      </c>
      <c r="B12" t="s">
        <v>488</v>
      </c>
      <c r="C12" t="s">
        <v>489</v>
      </c>
      <c r="D12" t="s">
        <v>471</v>
      </c>
      <c r="E12" t="s">
        <v>490</v>
      </c>
    </row>
    <row r="13" spans="1:5">
      <c r="A13">
        <v>9</v>
      </c>
      <c r="B13" t="s">
        <v>491</v>
      </c>
      <c r="C13" t="s">
        <v>492</v>
      </c>
      <c r="D13" t="s">
        <v>471</v>
      </c>
      <c r="E13" t="s">
        <v>493</v>
      </c>
    </row>
    <row r="14" spans="1:5">
      <c r="A14">
        <v>10</v>
      </c>
      <c r="B14" t="s">
        <v>494</v>
      </c>
      <c r="C14" t="s">
        <v>495</v>
      </c>
      <c r="D14" t="s">
        <v>482</v>
      </c>
      <c r="E14" t="s">
        <v>496</v>
      </c>
    </row>
    <row r="15" spans="1:5">
      <c r="A15">
        <v>11</v>
      </c>
      <c r="B15" t="s">
        <v>497</v>
      </c>
      <c r="C15" t="s">
        <v>498</v>
      </c>
      <c r="D15" t="s">
        <v>477</v>
      </c>
      <c r="E15" t="s">
        <v>490</v>
      </c>
    </row>
    <row r="17" spans="1:5">
      <c r="A17" t="s">
        <v>465</v>
      </c>
      <c r="B17" t="s">
        <v>466</v>
      </c>
      <c r="C17" t="s">
        <v>467</v>
      </c>
      <c r="D17" t="s">
        <v>384</v>
      </c>
      <c r="E17" t="s">
        <v>468</v>
      </c>
    </row>
    <row r="18" spans="1:5">
      <c r="A18">
        <v>12</v>
      </c>
      <c r="B18" t="s">
        <v>499</v>
      </c>
      <c r="C18" t="s">
        <v>500</v>
      </c>
      <c r="D18" t="s">
        <v>471</v>
      </c>
      <c r="E18" t="s">
        <v>501</v>
      </c>
    </row>
    <row r="19" spans="1:5">
      <c r="A19">
        <v>13</v>
      </c>
      <c r="B19" t="s">
        <v>502</v>
      </c>
      <c r="C19" t="s">
        <v>503</v>
      </c>
      <c r="D19" t="s">
        <v>471</v>
      </c>
      <c r="E19" t="s">
        <v>504</v>
      </c>
    </row>
    <row r="20" spans="1:5">
      <c r="A20">
        <v>14</v>
      </c>
      <c r="B20" t="s">
        <v>505</v>
      </c>
      <c r="C20" t="s">
        <v>506</v>
      </c>
      <c r="D20" t="s">
        <v>471</v>
      </c>
      <c r="E20" t="s">
        <v>507</v>
      </c>
    </row>
    <row r="21" spans="1:5">
      <c r="A21">
        <v>15</v>
      </c>
      <c r="B21" t="s">
        <v>508</v>
      </c>
      <c r="C21" t="s">
        <v>509</v>
      </c>
      <c r="D21" t="s">
        <v>471</v>
      </c>
      <c r="E21" t="s">
        <v>510</v>
      </c>
    </row>
    <row r="22" spans="1:5">
      <c r="A22">
        <v>16</v>
      </c>
      <c r="B22" t="s">
        <v>511</v>
      </c>
      <c r="C22" t="s">
        <v>512</v>
      </c>
      <c r="D22" t="s">
        <v>482</v>
      </c>
      <c r="E22" t="s">
        <v>513</v>
      </c>
    </row>
    <row r="23" spans="1:5">
      <c r="A23">
        <v>17</v>
      </c>
      <c r="B23" t="s">
        <v>110</v>
      </c>
      <c r="C23" t="s">
        <v>514</v>
      </c>
      <c r="D23" t="s">
        <v>482</v>
      </c>
      <c r="E23" t="s">
        <v>515</v>
      </c>
    </row>
    <row r="25" spans="1:5">
      <c r="A25" t="s">
        <v>465</v>
      </c>
      <c r="B25" t="s">
        <v>466</v>
      </c>
      <c r="C25" t="s">
        <v>467</v>
      </c>
      <c r="D25" t="s">
        <v>384</v>
      </c>
      <c r="E25" t="s">
        <v>468</v>
      </c>
    </row>
    <row r="26" spans="1:5">
      <c r="A26">
        <v>18</v>
      </c>
      <c r="B26" t="s">
        <v>516</v>
      </c>
      <c r="C26" t="s">
        <v>517</v>
      </c>
      <c r="D26" t="s">
        <v>471</v>
      </c>
      <c r="E26" t="s">
        <v>518</v>
      </c>
    </row>
    <row r="27" spans="1:5">
      <c r="A27">
        <v>19</v>
      </c>
      <c r="B27" t="s">
        <v>519</v>
      </c>
      <c r="C27" t="s">
        <v>520</v>
      </c>
      <c r="D27" t="s">
        <v>471</v>
      </c>
      <c r="E27" t="s">
        <v>521</v>
      </c>
    </row>
    <row r="28" spans="1:5">
      <c r="A28">
        <v>20</v>
      </c>
      <c r="B28" t="s">
        <v>522</v>
      </c>
      <c r="C28" t="s">
        <v>523</v>
      </c>
      <c r="D28" t="s">
        <v>477</v>
      </c>
      <c r="E28" t="s">
        <v>472</v>
      </c>
    </row>
    <row r="29" spans="1:5">
      <c r="A29">
        <v>21</v>
      </c>
      <c r="B29" t="s">
        <v>524</v>
      </c>
      <c r="C29" t="s">
        <v>525</v>
      </c>
      <c r="D29" t="s">
        <v>471</v>
      </c>
      <c r="E29" t="s">
        <v>518</v>
      </c>
    </row>
    <row r="30" spans="1:5">
      <c r="A30">
        <v>22</v>
      </c>
      <c r="B30" t="s">
        <v>526</v>
      </c>
      <c r="C30" t="s">
        <v>527</v>
      </c>
      <c r="D30" t="s">
        <v>482</v>
      </c>
      <c r="E30" t="s">
        <v>521</v>
      </c>
    </row>
    <row r="32" spans="1:5">
      <c r="A32" t="s">
        <v>465</v>
      </c>
      <c r="B32" t="s">
        <v>466</v>
      </c>
      <c r="C32" t="s">
        <v>467</v>
      </c>
      <c r="D32" t="s">
        <v>384</v>
      </c>
      <c r="E32" t="s">
        <v>468</v>
      </c>
    </row>
    <row r="33" spans="1:6">
      <c r="A33">
        <v>23</v>
      </c>
      <c r="B33" t="s">
        <v>528</v>
      </c>
      <c r="C33" t="s">
        <v>529</v>
      </c>
      <c r="D33" t="s">
        <v>471</v>
      </c>
      <c r="E33" t="s">
        <v>530</v>
      </c>
    </row>
    <row r="34" spans="1:6">
      <c r="A34">
        <v>24</v>
      </c>
      <c r="B34" t="s">
        <v>531</v>
      </c>
      <c r="C34" t="s">
        <v>532</v>
      </c>
      <c r="D34" t="s">
        <v>471</v>
      </c>
      <c r="E34" t="s">
        <v>533</v>
      </c>
    </row>
    <row r="35" spans="1:6">
      <c r="A35">
        <v>25</v>
      </c>
      <c r="B35" t="s">
        <v>534</v>
      </c>
      <c r="C35" t="s">
        <v>535</v>
      </c>
      <c r="D35" t="s">
        <v>471</v>
      </c>
      <c r="E35" t="s">
        <v>536</v>
      </c>
    </row>
    <row r="36" spans="1:6">
      <c r="A36">
        <v>26</v>
      </c>
      <c r="B36" t="s">
        <v>537</v>
      </c>
      <c r="C36" t="s">
        <v>538</v>
      </c>
      <c r="D36" t="s">
        <v>471</v>
      </c>
      <c r="E36" t="s">
        <v>536</v>
      </c>
    </row>
    <row r="37" spans="1:6">
      <c r="A37">
        <v>27</v>
      </c>
      <c r="B37" t="s">
        <v>539</v>
      </c>
      <c r="C37" t="s">
        <v>540</v>
      </c>
      <c r="D37" t="s">
        <v>482</v>
      </c>
      <c r="E37" t="s">
        <v>536</v>
      </c>
    </row>
    <row r="39" spans="1:6">
      <c r="A39" t="s">
        <v>465</v>
      </c>
      <c r="B39" t="s">
        <v>466</v>
      </c>
      <c r="C39" t="s">
        <v>467</v>
      </c>
      <c r="D39" t="s">
        <v>384</v>
      </c>
      <c r="E39" t="s">
        <v>468</v>
      </c>
    </row>
    <row r="40" spans="1:6">
      <c r="A40">
        <v>28</v>
      </c>
      <c r="B40" t="s">
        <v>541</v>
      </c>
      <c r="C40" t="s">
        <v>542</v>
      </c>
      <c r="D40" t="s">
        <v>471</v>
      </c>
      <c r="E40" t="s">
        <v>543</v>
      </c>
    </row>
    <row r="41" spans="1:6">
      <c r="A41">
        <v>29</v>
      </c>
      <c r="B41" t="s">
        <v>544</v>
      </c>
      <c r="C41" t="s">
        <v>545</v>
      </c>
      <c r="D41" t="s">
        <v>471</v>
      </c>
      <c r="E41" t="s">
        <v>546</v>
      </c>
    </row>
    <row r="42" spans="1:6">
      <c r="A42">
        <v>30</v>
      </c>
      <c r="B42" t="s">
        <v>547</v>
      </c>
      <c r="C42" t="s">
        <v>548</v>
      </c>
      <c r="D42" t="s">
        <v>482</v>
      </c>
      <c r="E42" t="s">
        <v>546</v>
      </c>
    </row>
    <row r="44" spans="1:6">
      <c r="A44" t="s">
        <v>465</v>
      </c>
      <c r="B44" t="s">
        <v>466</v>
      </c>
      <c r="C44" t="s">
        <v>549</v>
      </c>
      <c r="D44" t="s">
        <v>467</v>
      </c>
      <c r="E44" t="s">
        <v>384</v>
      </c>
      <c r="F44" t="s">
        <v>468</v>
      </c>
    </row>
    <row r="45" spans="1:6">
      <c r="A45">
        <v>1</v>
      </c>
      <c r="B45" t="s">
        <v>550</v>
      </c>
      <c r="C45" t="s">
        <v>551</v>
      </c>
      <c r="D45" t="s">
        <v>552</v>
      </c>
      <c r="E45" t="s">
        <v>482</v>
      </c>
      <c r="F45" t="s">
        <v>472</v>
      </c>
    </row>
    <row r="46" spans="1:6">
      <c r="A46">
        <v>2</v>
      </c>
      <c r="B46" t="s">
        <v>553</v>
      </c>
      <c r="C46" t="s">
        <v>554</v>
      </c>
      <c r="D46" t="s">
        <v>555</v>
      </c>
      <c r="E46" t="s">
        <v>482</v>
      </c>
      <c r="F46" t="s">
        <v>472</v>
      </c>
    </row>
    <row r="47" spans="1:6">
      <c r="A47">
        <v>3</v>
      </c>
      <c r="B47" t="s">
        <v>556</v>
      </c>
      <c r="C47" t="s">
        <v>557</v>
      </c>
      <c r="D47" t="s">
        <v>558</v>
      </c>
      <c r="E47" t="s">
        <v>482</v>
      </c>
      <c r="F47" t="s">
        <v>559</v>
      </c>
    </row>
    <row r="48" spans="1:6">
      <c r="A48">
        <v>4</v>
      </c>
      <c r="B48" t="s">
        <v>560</v>
      </c>
      <c r="C48" t="s">
        <v>561</v>
      </c>
      <c r="D48" t="s">
        <v>562</v>
      </c>
      <c r="E48" t="s">
        <v>471</v>
      </c>
      <c r="F48" t="s">
        <v>510</v>
      </c>
    </row>
    <row r="49" spans="1:6">
      <c r="A49">
        <v>5</v>
      </c>
      <c r="B49" t="s">
        <v>563</v>
      </c>
      <c r="C49" t="s">
        <v>564</v>
      </c>
      <c r="D49" t="s">
        <v>565</v>
      </c>
      <c r="E49" t="s">
        <v>477</v>
      </c>
      <c r="F49" t="s">
        <v>566</v>
      </c>
    </row>
    <row r="51" spans="1:6">
      <c r="A51" t="s">
        <v>465</v>
      </c>
      <c r="B51" t="s">
        <v>466</v>
      </c>
      <c r="C51" t="s">
        <v>549</v>
      </c>
      <c r="D51" t="s">
        <v>467</v>
      </c>
      <c r="E51" t="s">
        <v>384</v>
      </c>
      <c r="F51" t="s">
        <v>468</v>
      </c>
    </row>
    <row r="52" spans="1:6">
      <c r="A52">
        <v>6</v>
      </c>
      <c r="B52" t="s">
        <v>567</v>
      </c>
      <c r="C52" t="s">
        <v>568</v>
      </c>
      <c r="D52" t="s">
        <v>569</v>
      </c>
      <c r="E52" t="s">
        <v>471</v>
      </c>
      <c r="F52" t="s">
        <v>513</v>
      </c>
    </row>
    <row r="53" spans="1:6">
      <c r="A53">
        <v>7</v>
      </c>
      <c r="B53" t="s">
        <v>570</v>
      </c>
      <c r="C53" t="s">
        <v>370</v>
      </c>
      <c r="D53" t="s">
        <v>571</v>
      </c>
      <c r="E53" t="s">
        <v>482</v>
      </c>
      <c r="F53" t="s">
        <v>572</v>
      </c>
    </row>
    <row r="54" spans="1:6">
      <c r="A54">
        <v>8</v>
      </c>
      <c r="B54" t="s">
        <v>573</v>
      </c>
      <c r="C54" t="s">
        <v>371</v>
      </c>
      <c r="D54" t="s">
        <v>574</v>
      </c>
      <c r="E54" t="s">
        <v>471</v>
      </c>
      <c r="F54" t="s">
        <v>504</v>
      </c>
    </row>
    <row r="55" spans="1:6">
      <c r="A55">
        <v>9</v>
      </c>
      <c r="B55" t="s">
        <v>575</v>
      </c>
      <c r="C55" t="s">
        <v>372</v>
      </c>
      <c r="D55" t="s">
        <v>576</v>
      </c>
      <c r="E55" t="s">
        <v>471</v>
      </c>
      <c r="F55" t="s">
        <v>485</v>
      </c>
    </row>
    <row r="56" spans="1:6">
      <c r="A56">
        <v>10</v>
      </c>
      <c r="B56" t="s">
        <v>577</v>
      </c>
      <c r="C56" t="s">
        <v>568</v>
      </c>
      <c r="D56" t="s">
        <v>578</v>
      </c>
      <c r="E56" t="s">
        <v>482</v>
      </c>
      <c r="F56" t="s">
        <v>490</v>
      </c>
    </row>
    <row r="58" spans="1:6">
      <c r="A58" t="s">
        <v>465</v>
      </c>
      <c r="B58" t="s">
        <v>466</v>
      </c>
      <c r="C58" t="s">
        <v>549</v>
      </c>
      <c r="D58" t="s">
        <v>467</v>
      </c>
      <c r="E58" t="s">
        <v>384</v>
      </c>
      <c r="F58" t="s">
        <v>468</v>
      </c>
    </row>
    <row r="59" spans="1:6">
      <c r="A59">
        <v>11</v>
      </c>
      <c r="B59" t="s">
        <v>579</v>
      </c>
      <c r="C59" t="s">
        <v>375</v>
      </c>
      <c r="D59" t="s">
        <v>580</v>
      </c>
      <c r="E59" t="s">
        <v>471</v>
      </c>
      <c r="F59" t="s">
        <v>521</v>
      </c>
    </row>
    <row r="60" spans="1:6">
      <c r="A60">
        <v>12</v>
      </c>
      <c r="B60" t="s">
        <v>581</v>
      </c>
      <c r="C60" t="s">
        <v>376</v>
      </c>
      <c r="D60" t="s">
        <v>538</v>
      </c>
      <c r="E60" t="s">
        <v>471</v>
      </c>
      <c r="F60" t="s">
        <v>536</v>
      </c>
    </row>
    <row r="61" spans="1:6">
      <c r="A61">
        <v>13</v>
      </c>
      <c r="B61" t="s">
        <v>582</v>
      </c>
      <c r="C61" t="s">
        <v>374</v>
      </c>
      <c r="D61" t="s">
        <v>583</v>
      </c>
      <c r="E61" t="s">
        <v>471</v>
      </c>
      <c r="F61" t="s">
        <v>536</v>
      </c>
    </row>
    <row r="62" spans="1:6">
      <c r="A62">
        <v>14</v>
      </c>
      <c r="B62" t="s">
        <v>584</v>
      </c>
      <c r="C62" t="s">
        <v>585</v>
      </c>
      <c r="D62" t="s">
        <v>529</v>
      </c>
      <c r="E62" t="s">
        <v>471</v>
      </c>
      <c r="F62" t="s">
        <v>530</v>
      </c>
    </row>
    <row r="63" spans="1:6">
      <c r="A63">
        <v>15</v>
      </c>
      <c r="B63" t="s">
        <v>586</v>
      </c>
      <c r="C63" t="s">
        <v>375</v>
      </c>
      <c r="D63" t="s">
        <v>587</v>
      </c>
      <c r="E63" t="s">
        <v>477</v>
      </c>
      <c r="F63" t="s">
        <v>521</v>
      </c>
    </row>
    <row r="65" spans="1:6">
      <c r="A65" t="s">
        <v>465</v>
      </c>
      <c r="B65" t="s">
        <v>466</v>
      </c>
      <c r="C65" t="s">
        <v>549</v>
      </c>
      <c r="D65" t="s">
        <v>467</v>
      </c>
      <c r="E65" t="s">
        <v>384</v>
      </c>
      <c r="F65" t="s">
        <v>468</v>
      </c>
    </row>
    <row r="66" spans="1:6">
      <c r="A66">
        <v>16</v>
      </c>
      <c r="B66" t="s">
        <v>588</v>
      </c>
      <c r="C66" t="s">
        <v>378</v>
      </c>
      <c r="D66" t="s">
        <v>532</v>
      </c>
      <c r="E66" t="s">
        <v>471</v>
      </c>
      <c r="F66" t="s">
        <v>533</v>
      </c>
    </row>
    <row r="67" spans="1:6">
      <c r="A67">
        <v>17</v>
      </c>
      <c r="B67" t="s">
        <v>589</v>
      </c>
      <c r="C67" t="s">
        <v>380</v>
      </c>
      <c r="D67" t="s">
        <v>590</v>
      </c>
      <c r="E67" t="s">
        <v>482</v>
      </c>
      <c r="F67" t="s">
        <v>591</v>
      </c>
    </row>
    <row r="68" spans="1:6">
      <c r="A68">
        <v>18</v>
      </c>
      <c r="B68" t="s">
        <v>592</v>
      </c>
      <c r="C68" t="s">
        <v>593</v>
      </c>
      <c r="D68" t="s">
        <v>594</v>
      </c>
      <c r="E68" t="s">
        <v>482</v>
      </c>
      <c r="F68" t="s">
        <v>472</v>
      </c>
    </row>
    <row r="69" spans="1:6">
      <c r="A69">
        <v>19</v>
      </c>
      <c r="B69" t="s">
        <v>595</v>
      </c>
      <c r="C69" t="s">
        <v>596</v>
      </c>
      <c r="D69" t="s">
        <v>597</v>
      </c>
      <c r="E69" t="s">
        <v>471</v>
      </c>
      <c r="F69" t="s">
        <v>518</v>
      </c>
    </row>
    <row r="70" spans="1:6">
      <c r="A70">
        <v>20</v>
      </c>
      <c r="B70" t="s">
        <v>598</v>
      </c>
      <c r="C70" t="s">
        <v>379</v>
      </c>
      <c r="D70" t="s">
        <v>599</v>
      </c>
      <c r="E70" t="s">
        <v>482</v>
      </c>
      <c r="F70" t="s">
        <v>536</v>
      </c>
    </row>
    <row r="72" spans="1:6">
      <c r="A72" t="s">
        <v>465</v>
      </c>
      <c r="B72" t="s">
        <v>466</v>
      </c>
      <c r="C72" t="s">
        <v>549</v>
      </c>
      <c r="D72" t="s">
        <v>467</v>
      </c>
      <c r="E72" t="s">
        <v>384</v>
      </c>
      <c r="F72" t="s">
        <v>468</v>
      </c>
    </row>
    <row r="73" spans="1:6">
      <c r="A73">
        <v>26</v>
      </c>
      <c r="B73" t="s">
        <v>600</v>
      </c>
      <c r="C73" t="s">
        <v>601</v>
      </c>
      <c r="D73" t="s">
        <v>602</v>
      </c>
      <c r="E73" t="s">
        <v>471</v>
      </c>
      <c r="F73" t="s">
        <v>507</v>
      </c>
    </row>
    <row r="74" spans="1:6">
      <c r="A74">
        <v>27</v>
      </c>
      <c r="B74" t="s">
        <v>603</v>
      </c>
      <c r="C74" t="s">
        <v>604</v>
      </c>
      <c r="D74" t="s">
        <v>605</v>
      </c>
      <c r="E74" t="s">
        <v>482</v>
      </c>
      <c r="F74" t="s">
        <v>606</v>
      </c>
    </row>
    <row r="75" spans="1:6">
      <c r="A75">
        <v>28</v>
      </c>
      <c r="B75" t="s">
        <v>607</v>
      </c>
      <c r="C75" t="s">
        <v>608</v>
      </c>
      <c r="D75" t="s">
        <v>609</v>
      </c>
      <c r="E75" t="s">
        <v>482</v>
      </c>
      <c r="F75" t="s">
        <v>513</v>
      </c>
    </row>
    <row r="76" spans="1:6">
      <c r="A76">
        <v>29</v>
      </c>
      <c r="B76" t="s">
        <v>610</v>
      </c>
      <c r="C76" t="s">
        <v>611</v>
      </c>
      <c r="D76" t="s">
        <v>612</v>
      </c>
      <c r="E76" t="s">
        <v>482</v>
      </c>
      <c r="F76" t="s">
        <v>613</v>
      </c>
    </row>
    <row r="77" spans="1:6">
      <c r="A77">
        <v>30</v>
      </c>
      <c r="B77" t="s">
        <v>614</v>
      </c>
      <c r="C77" t="s">
        <v>611</v>
      </c>
      <c r="D77" t="s">
        <v>615</v>
      </c>
      <c r="E77" t="s">
        <v>471</v>
      </c>
      <c r="F77" t="s">
        <v>501</v>
      </c>
    </row>
    <row r="79" spans="1:6">
      <c r="A79" t="s">
        <v>465</v>
      </c>
      <c r="B79" t="s">
        <v>466</v>
      </c>
      <c r="C79" t="s">
        <v>467</v>
      </c>
      <c r="D79" t="s">
        <v>468</v>
      </c>
    </row>
    <row r="80" spans="1:6">
      <c r="A80">
        <v>1</v>
      </c>
      <c r="B80" t="s">
        <v>616</v>
      </c>
      <c r="C80" t="s">
        <v>617</v>
      </c>
      <c r="D80" t="s">
        <v>618</v>
      </c>
    </row>
    <row r="81" spans="1:4">
      <c r="A81">
        <v>2</v>
      </c>
      <c r="B81" t="s">
        <v>619</v>
      </c>
      <c r="C81" t="s">
        <v>620</v>
      </c>
      <c r="D81" t="s">
        <v>621</v>
      </c>
    </row>
    <row r="82" spans="1:4">
      <c r="A82">
        <v>3</v>
      </c>
      <c r="B82" t="s">
        <v>622</v>
      </c>
      <c r="C82" t="s">
        <v>623</v>
      </c>
      <c r="D82" t="s">
        <v>618</v>
      </c>
    </row>
    <row r="83" spans="1:4">
      <c r="A83">
        <v>4</v>
      </c>
      <c r="B83" t="s">
        <v>624</v>
      </c>
      <c r="C83" t="s">
        <v>625</v>
      </c>
      <c r="D83" t="s">
        <v>626</v>
      </c>
    </row>
    <row r="85" spans="1:4">
      <c r="A85" t="s">
        <v>465</v>
      </c>
      <c r="B85" t="s">
        <v>466</v>
      </c>
      <c r="C85" t="s">
        <v>467</v>
      </c>
      <c r="D85" t="s">
        <v>468</v>
      </c>
    </row>
    <row r="86" spans="1:4">
      <c r="A86">
        <v>5</v>
      </c>
      <c r="B86" t="s">
        <v>627</v>
      </c>
      <c r="C86" t="s">
        <v>628</v>
      </c>
      <c r="D86" t="s">
        <v>472</v>
      </c>
    </row>
    <row r="87" spans="1:4">
      <c r="A87">
        <v>6</v>
      </c>
      <c r="B87" t="s">
        <v>629</v>
      </c>
      <c r="C87" t="s">
        <v>630</v>
      </c>
      <c r="D87" t="s">
        <v>510</v>
      </c>
    </row>
    <row r="88" spans="1:4">
      <c r="A88">
        <v>7</v>
      </c>
      <c r="B88" t="s">
        <v>631</v>
      </c>
      <c r="C88" t="s">
        <v>632</v>
      </c>
      <c r="D88" t="s">
        <v>633</v>
      </c>
    </row>
    <row r="89" spans="1:4">
      <c r="A89">
        <v>8</v>
      </c>
      <c r="B89" t="s">
        <v>634</v>
      </c>
      <c r="C89" t="s">
        <v>635</v>
      </c>
      <c r="D89" t="s">
        <v>636</v>
      </c>
    </row>
    <row r="90" spans="1:4">
      <c r="A90">
        <v>9</v>
      </c>
      <c r="B90" t="s">
        <v>637</v>
      </c>
      <c r="C90" t="s">
        <v>638</v>
      </c>
      <c r="D90" t="s">
        <v>501</v>
      </c>
    </row>
    <row r="92" spans="1:4">
      <c r="A92" t="s">
        <v>465</v>
      </c>
      <c r="B92" t="s">
        <v>466</v>
      </c>
      <c r="C92" t="s">
        <v>467</v>
      </c>
      <c r="D92" t="s">
        <v>468</v>
      </c>
    </row>
    <row r="93" spans="1:4">
      <c r="A93">
        <v>10</v>
      </c>
      <c r="B93" t="s">
        <v>639</v>
      </c>
      <c r="C93" t="s">
        <v>640</v>
      </c>
      <c r="D93" t="s">
        <v>641</v>
      </c>
    </row>
    <row r="94" spans="1:4">
      <c r="A94">
        <v>11</v>
      </c>
      <c r="B94" t="s">
        <v>642</v>
      </c>
      <c r="C94" t="s">
        <v>643</v>
      </c>
      <c r="D94" t="s">
        <v>644</v>
      </c>
    </row>
    <row r="95" spans="1:4">
      <c r="A95">
        <v>12</v>
      </c>
      <c r="B95" t="s">
        <v>645</v>
      </c>
      <c r="C95" t="s">
        <v>646</v>
      </c>
      <c r="D95" t="s">
        <v>472</v>
      </c>
    </row>
    <row r="96" spans="1:4">
      <c r="A96">
        <v>13</v>
      </c>
      <c r="B96" t="s">
        <v>647</v>
      </c>
      <c r="C96" t="s">
        <v>648</v>
      </c>
      <c r="D96" t="s">
        <v>472</v>
      </c>
    </row>
    <row r="97" spans="1:4">
      <c r="A97">
        <v>14</v>
      </c>
      <c r="B97" t="s">
        <v>649</v>
      </c>
      <c r="C97" t="s">
        <v>650</v>
      </c>
      <c r="D97" t="s">
        <v>651</v>
      </c>
    </row>
    <row r="99" spans="1:4">
      <c r="A99" t="s">
        <v>465</v>
      </c>
      <c r="B99" t="s">
        <v>466</v>
      </c>
      <c r="C99" t="s">
        <v>467</v>
      </c>
      <c r="D99" t="s">
        <v>468</v>
      </c>
    </row>
    <row r="100" spans="1:4">
      <c r="A100">
        <v>15</v>
      </c>
      <c r="B100" t="s">
        <v>652</v>
      </c>
      <c r="C100" t="s">
        <v>653</v>
      </c>
      <c r="D100" t="s">
        <v>472</v>
      </c>
    </row>
    <row r="101" spans="1:4">
      <c r="A101">
        <v>16</v>
      </c>
      <c r="B101" t="s">
        <v>654</v>
      </c>
      <c r="C101" t="s">
        <v>655</v>
      </c>
      <c r="D101" t="s">
        <v>472</v>
      </c>
    </row>
    <row r="102" spans="1:4">
      <c r="A102">
        <v>17</v>
      </c>
      <c r="B102" t="s">
        <v>656</v>
      </c>
      <c r="C102" t="s">
        <v>657</v>
      </c>
      <c r="D102" t="s">
        <v>472</v>
      </c>
    </row>
    <row r="103" spans="1:4">
      <c r="A103">
        <v>18</v>
      </c>
      <c r="B103" t="s">
        <v>658</v>
      </c>
      <c r="C103" t="s">
        <v>659</v>
      </c>
      <c r="D103" t="s">
        <v>521</v>
      </c>
    </row>
    <row r="104" spans="1:4">
      <c r="A104">
        <v>19</v>
      </c>
      <c r="B104" t="s">
        <v>660</v>
      </c>
      <c r="C104" t="s">
        <v>661</v>
      </c>
      <c r="D104" t="s">
        <v>510</v>
      </c>
    </row>
    <row r="106" spans="1:4">
      <c r="A106" t="s">
        <v>465</v>
      </c>
      <c r="B106" t="s">
        <v>466</v>
      </c>
      <c r="C106" t="s">
        <v>467</v>
      </c>
      <c r="D106" t="s">
        <v>662</v>
      </c>
    </row>
    <row r="107" spans="1:4">
      <c r="A107">
        <v>20</v>
      </c>
      <c r="B107" t="s">
        <v>663</v>
      </c>
      <c r="C107" t="s">
        <v>664</v>
      </c>
      <c r="D107" t="s">
        <v>665</v>
      </c>
    </row>
    <row r="108" spans="1:4">
      <c r="A108">
        <v>21</v>
      </c>
      <c r="B108" t="s">
        <v>666</v>
      </c>
      <c r="C108" t="s">
        <v>667</v>
      </c>
      <c r="D108" t="s">
        <v>668</v>
      </c>
    </row>
    <row r="109" spans="1:4">
      <c r="A109">
        <v>22</v>
      </c>
      <c r="B109" t="s">
        <v>669</v>
      </c>
      <c r="C109" t="s">
        <v>670</v>
      </c>
      <c r="D109" t="s">
        <v>671</v>
      </c>
    </row>
    <row r="110" spans="1:4">
      <c r="A110">
        <v>23</v>
      </c>
      <c r="B110" t="s">
        <v>672</v>
      </c>
      <c r="C110" t="s">
        <v>673</v>
      </c>
      <c r="D110" t="s">
        <v>674</v>
      </c>
    </row>
    <row r="111" spans="1:4">
      <c r="A111">
        <v>24</v>
      </c>
      <c r="B111" t="s">
        <v>675</v>
      </c>
      <c r="C111" t="s">
        <v>676</v>
      </c>
      <c r="D111" t="s">
        <v>677</v>
      </c>
    </row>
    <row r="113" spans="1:4">
      <c r="A113" t="s">
        <v>465</v>
      </c>
      <c r="B113" t="s">
        <v>466</v>
      </c>
      <c r="C113" t="s">
        <v>467</v>
      </c>
      <c r="D113" t="s">
        <v>468</v>
      </c>
    </row>
    <row r="114" spans="1:4">
      <c r="A114">
        <v>25</v>
      </c>
      <c r="B114" t="s">
        <v>678</v>
      </c>
      <c r="C114" t="s">
        <v>679</v>
      </c>
      <c r="D114" t="s">
        <v>680</v>
      </c>
    </row>
    <row r="115" spans="1:4">
      <c r="A115">
        <v>26</v>
      </c>
      <c r="B115" t="s">
        <v>681</v>
      </c>
      <c r="C115" t="s">
        <v>682</v>
      </c>
      <c r="D115" t="s">
        <v>472</v>
      </c>
    </row>
    <row r="116" spans="1:4">
      <c r="A116">
        <v>27</v>
      </c>
      <c r="B116" t="s">
        <v>683</v>
      </c>
      <c r="C116" t="s">
        <v>684</v>
      </c>
      <c r="D116" t="s">
        <v>685</v>
      </c>
    </row>
    <row r="118" spans="1:4">
      <c r="A118" t="s">
        <v>465</v>
      </c>
      <c r="B118" t="s">
        <v>466</v>
      </c>
      <c r="C118" t="s">
        <v>467</v>
      </c>
      <c r="D118" t="s">
        <v>128</v>
      </c>
    </row>
    <row r="119" spans="1:4">
      <c r="A119">
        <v>28</v>
      </c>
      <c r="B119" t="s">
        <v>473</v>
      </c>
      <c r="C119" t="s">
        <v>686</v>
      </c>
      <c r="D119" t="s">
        <v>687</v>
      </c>
    </row>
    <row r="120" spans="1:4">
      <c r="A120">
        <v>29</v>
      </c>
      <c r="B120" t="s">
        <v>688</v>
      </c>
      <c r="C120" t="s">
        <v>689</v>
      </c>
      <c r="D120" t="s">
        <v>690</v>
      </c>
    </row>
    <row r="121" spans="1:4">
      <c r="A121">
        <v>30</v>
      </c>
      <c r="B121" t="s">
        <v>691</v>
      </c>
      <c r="C121" t="s">
        <v>692</v>
      </c>
      <c r="D121" t="s">
        <v>693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15"/>
  <sheetViews>
    <sheetView topLeftCell="E32" workbookViewId="0">
      <selection activeCell="W28" sqref="W28:AH28"/>
    </sheetView>
  </sheetViews>
  <sheetFormatPr defaultColWidth="9" defaultRowHeight="13.5"/>
  <cols>
    <col min="1" max="4" width="9" style="8"/>
    <col min="5" max="5" width="86" customWidth="1"/>
    <col min="14" max="14" width="16" customWidth="1"/>
    <col min="15" max="20" width="10.6666666666667" style="8" customWidth="1"/>
    <col min="21" max="22" width="10.6666666666667" customWidth="1"/>
    <col min="23" max="34" width="10.6666666666667" style="8" customWidth="1"/>
  </cols>
  <sheetData>
    <row r="1" spans="1:25">
      <c r="A1" s="8" t="s">
        <v>162</v>
      </c>
      <c r="B1" s="8" t="s">
        <v>466</v>
      </c>
      <c r="C1" s="8" t="s">
        <v>294</v>
      </c>
      <c r="D1" s="8" t="s">
        <v>694</v>
      </c>
      <c r="E1" s="8" t="s">
        <v>128</v>
      </c>
    </row>
    <row r="2" spans="1:25">
      <c r="A2" s="8" t="s">
        <v>695</v>
      </c>
      <c r="C2" s="8" t="s">
        <v>696</v>
      </c>
      <c r="E2" s="8" t="s">
        <v>697</v>
      </c>
    </row>
    <row r="3" spans="1:25">
      <c r="A3" s="8" t="s">
        <v>695</v>
      </c>
      <c r="C3" s="8" t="s">
        <v>696</v>
      </c>
      <c r="E3" s="8" t="s">
        <v>698</v>
      </c>
    </row>
    <row r="4" spans="1:25">
      <c r="A4" s="8" t="s">
        <v>695</v>
      </c>
      <c r="C4" s="8" t="s">
        <v>696</v>
      </c>
      <c r="E4" s="8" t="s">
        <v>699</v>
      </c>
      <c r="V4" s="8"/>
    </row>
    <row r="5" spans="1:25">
      <c r="A5" s="8" t="s">
        <v>695</v>
      </c>
      <c r="C5" s="8" t="s">
        <v>696</v>
      </c>
      <c r="E5" s="8" t="s">
        <v>700</v>
      </c>
      <c r="V5" s="8"/>
    </row>
    <row r="6" spans="1:25">
      <c r="A6" s="8" t="s">
        <v>695</v>
      </c>
      <c r="C6" s="8" t="s">
        <v>696</v>
      </c>
      <c r="E6" s="8" t="s">
        <v>701</v>
      </c>
      <c r="V6" s="8"/>
    </row>
    <row r="7" ht="13.95" customHeight="1" spans="1:25">
      <c r="A7" s="8" t="s">
        <v>695</v>
      </c>
      <c r="C7" s="8" t="s">
        <v>696</v>
      </c>
      <c r="E7" s="8" t="s">
        <v>702</v>
      </c>
      <c r="V7" s="8"/>
    </row>
    <row r="8" spans="1:25">
      <c r="A8" s="8" t="s">
        <v>162</v>
      </c>
      <c r="B8" s="8" t="s">
        <v>466</v>
      </c>
      <c r="C8" s="8" t="s">
        <v>294</v>
      </c>
      <c r="D8" s="8" t="s">
        <v>694</v>
      </c>
      <c r="E8" s="8" t="s">
        <v>128</v>
      </c>
      <c r="V8" s="8"/>
    </row>
    <row r="9" ht="67.5" spans="1:25">
      <c r="A9" s="8" t="s">
        <v>695</v>
      </c>
      <c r="B9" s="8" t="s">
        <v>703</v>
      </c>
      <c r="C9" s="8" t="s">
        <v>696</v>
      </c>
      <c r="E9" s="9" t="s">
        <v>704</v>
      </c>
      <c r="V9" s="8"/>
    </row>
    <row r="10" ht="67.5" spans="1:25">
      <c r="A10" s="8" t="s">
        <v>695</v>
      </c>
      <c r="B10" s="8" t="s">
        <v>705</v>
      </c>
      <c r="C10" s="8" t="s">
        <v>696</v>
      </c>
      <c r="E10" s="9" t="s">
        <v>706</v>
      </c>
      <c r="V10" s="8"/>
      <c r="Y10" s="8" t="s">
        <v>707</v>
      </c>
    </row>
    <row r="11" ht="54" spans="1:25">
      <c r="A11" s="8" t="s">
        <v>695</v>
      </c>
      <c r="B11" s="8" t="s">
        <v>708</v>
      </c>
      <c r="C11" s="8" t="s">
        <v>696</v>
      </c>
      <c r="E11" s="9" t="s">
        <v>709</v>
      </c>
      <c r="V11" s="8"/>
    </row>
    <row r="12" ht="67.5" spans="1:25">
      <c r="A12" s="8" t="s">
        <v>710</v>
      </c>
      <c r="B12" s="8" t="s">
        <v>711</v>
      </c>
      <c r="C12" s="8" t="s">
        <v>696</v>
      </c>
      <c r="E12" s="9" t="s">
        <v>712</v>
      </c>
      <c r="V12" s="8"/>
    </row>
    <row r="13" ht="67.5" spans="1:25">
      <c r="A13" s="8" t="s">
        <v>710</v>
      </c>
      <c r="B13" s="8" t="s">
        <v>713</v>
      </c>
      <c r="C13" s="8" t="s">
        <v>696</v>
      </c>
      <c r="E13" s="9" t="s">
        <v>714</v>
      </c>
      <c r="V13" s="8"/>
    </row>
    <row r="14" ht="81" spans="1:25">
      <c r="A14" s="8" t="s">
        <v>710</v>
      </c>
      <c r="B14" s="8" t="s">
        <v>715</v>
      </c>
      <c r="C14" s="8" t="s">
        <v>696</v>
      </c>
      <c r="E14" s="9" t="s">
        <v>716</v>
      </c>
      <c r="Q14" t="s">
        <v>717</v>
      </c>
      <c r="V14" s="8"/>
    </row>
    <row r="15" ht="81" spans="1:25">
      <c r="A15" s="8" t="s">
        <v>718</v>
      </c>
      <c r="B15" s="8" t="s">
        <v>719</v>
      </c>
      <c r="C15" s="8" t="s">
        <v>696</v>
      </c>
      <c r="E15" s="9" t="s">
        <v>720</v>
      </c>
      <c r="Q15" t="s">
        <v>721</v>
      </c>
      <c r="V15" s="8"/>
    </row>
    <row r="16" ht="67.5" spans="1:25">
      <c r="A16" s="8" t="s">
        <v>718</v>
      </c>
      <c r="B16" s="8" t="s">
        <v>722</v>
      </c>
      <c r="C16" s="8" t="s">
        <v>696</v>
      </c>
      <c r="E16" s="9" t="s">
        <v>723</v>
      </c>
      <c r="Q16" t="s">
        <v>724</v>
      </c>
      <c r="V16" s="8"/>
    </row>
    <row r="17" ht="135" spans="1:34">
      <c r="A17" s="8" t="s">
        <v>718</v>
      </c>
      <c r="B17" s="8" t="s">
        <v>725</v>
      </c>
      <c r="C17" s="8" t="s">
        <v>696</v>
      </c>
      <c r="E17" s="9" t="s">
        <v>726</v>
      </c>
      <c r="Q17" t="s">
        <v>727</v>
      </c>
      <c r="R17" s="8">
        <v>1</v>
      </c>
      <c r="V17" s="8"/>
    </row>
    <row r="18" ht="108" spans="1:34">
      <c r="A18" s="8" t="s">
        <v>728</v>
      </c>
      <c r="B18" s="8" t="s">
        <v>729</v>
      </c>
      <c r="C18" s="8" t="s">
        <v>696</v>
      </c>
      <c r="E18" s="9" t="s">
        <v>730</v>
      </c>
      <c r="Q18" t="s">
        <v>731</v>
      </c>
      <c r="R18" s="8">
        <v>2</v>
      </c>
      <c r="U18" t="s">
        <v>732</v>
      </c>
      <c r="V18" s="8"/>
    </row>
    <row r="19" ht="67.5" spans="1:34">
      <c r="A19" s="8" t="s">
        <v>728</v>
      </c>
      <c r="B19" s="8" t="s">
        <v>733</v>
      </c>
      <c r="C19" s="8" t="s">
        <v>696</v>
      </c>
      <c r="E19" s="9" t="s">
        <v>734</v>
      </c>
      <c r="Q19" t="s">
        <v>735</v>
      </c>
      <c r="R19" s="8">
        <v>3</v>
      </c>
      <c r="U19" t="s">
        <v>162</v>
      </c>
      <c r="V19" s="8" t="s">
        <v>736</v>
      </c>
    </row>
    <row r="20" ht="81" spans="1:34">
      <c r="A20" s="8" t="s">
        <v>728</v>
      </c>
      <c r="B20" s="8" t="s">
        <v>737</v>
      </c>
      <c r="C20" s="8" t="s">
        <v>696</v>
      </c>
      <c r="E20" s="9" t="s">
        <v>738</v>
      </c>
      <c r="U20" t="s">
        <v>739</v>
      </c>
      <c r="V20" s="8" t="s">
        <v>740</v>
      </c>
    </row>
    <row r="21" spans="1:34">
      <c r="E21" s="8"/>
      <c r="U21" t="s">
        <v>741</v>
      </c>
      <c r="V21" s="8" t="s">
        <v>742</v>
      </c>
    </row>
    <row r="22" spans="1:34">
      <c r="E22" s="8"/>
      <c r="U22" t="s">
        <v>743</v>
      </c>
      <c r="V22" s="8" t="s">
        <v>744</v>
      </c>
    </row>
    <row r="23" spans="1:34">
      <c r="E23" s="8"/>
      <c r="O23"/>
      <c r="P23"/>
      <c r="U23" t="s">
        <v>745</v>
      </c>
      <c r="V23" s="8" t="s">
        <v>746</v>
      </c>
    </row>
    <row r="24" spans="1:34">
      <c r="E24" s="8"/>
      <c r="O24"/>
      <c r="P24"/>
      <c r="U24" t="s">
        <v>747</v>
      </c>
      <c r="V24" s="8" t="s">
        <v>748</v>
      </c>
    </row>
    <row r="25" spans="1:34">
      <c r="E25" s="8"/>
      <c r="O25"/>
      <c r="P25"/>
      <c r="V25" s="8"/>
    </row>
    <row r="26" spans="1:34">
      <c r="E26" s="8"/>
      <c r="O26"/>
      <c r="P26"/>
    </row>
    <row r="27" spans="1:34">
      <c r="E27" s="8"/>
      <c r="O27"/>
      <c r="P27"/>
    </row>
    <row r="28" spans="1:34">
      <c r="E28" s="8"/>
      <c r="O28" t="s">
        <v>749</v>
      </c>
      <c r="P28"/>
      <c r="Q28" s="8" t="s">
        <v>750</v>
      </c>
      <c r="U28" s="8"/>
      <c r="V28" s="8"/>
      <c r="W28" s="8" t="s">
        <v>695</v>
      </c>
      <c r="Z28" s="9" t="s">
        <v>710</v>
      </c>
      <c r="AA28" s="9"/>
      <c r="AB28" s="9"/>
      <c r="AC28" s="8" t="s">
        <v>718</v>
      </c>
      <c r="AF28" s="8" t="s">
        <v>728</v>
      </c>
    </row>
    <row r="29" spans="1:34">
      <c r="E29" s="8"/>
      <c r="O29">
        <v>4</v>
      </c>
      <c r="P29" s="8" t="s">
        <v>301</v>
      </c>
      <c r="Q29" s="8" t="s">
        <v>9</v>
      </c>
      <c r="R29" s="8" t="s">
        <v>10</v>
      </c>
      <c r="S29" s="8" t="s">
        <v>11</v>
      </c>
      <c r="T29" s="8" t="s">
        <v>14</v>
      </c>
      <c r="U29" s="8" t="s">
        <v>12</v>
      </c>
      <c r="V29" s="8" t="s">
        <v>13</v>
      </c>
      <c r="W29" s="8" t="s">
        <v>751</v>
      </c>
      <c r="X29" s="8" t="s">
        <v>752</v>
      </c>
      <c r="Y29" s="8" t="s">
        <v>753</v>
      </c>
      <c r="Z29" s="8" t="s">
        <v>751</v>
      </c>
      <c r="AA29" s="8" t="s">
        <v>752</v>
      </c>
      <c r="AB29" s="8" t="s">
        <v>753</v>
      </c>
      <c r="AC29" s="8" t="s">
        <v>751</v>
      </c>
      <c r="AD29" s="8" t="s">
        <v>752</v>
      </c>
      <c r="AE29" s="8" t="s">
        <v>753</v>
      </c>
      <c r="AF29" s="8" t="s">
        <v>751</v>
      </c>
      <c r="AG29" s="8" t="s">
        <v>752</v>
      </c>
      <c r="AH29" s="8" t="s">
        <v>753</v>
      </c>
    </row>
    <row r="30" spans="1:34">
      <c r="E30" s="8"/>
      <c r="O30"/>
      <c r="Q30" s="8" t="s">
        <v>754</v>
      </c>
      <c r="R30" s="8" t="s">
        <v>754</v>
      </c>
      <c r="S30" s="8" t="s">
        <v>754</v>
      </c>
      <c r="T30" s="8" t="s">
        <v>754</v>
      </c>
      <c r="U30" s="8" t="s">
        <v>754</v>
      </c>
      <c r="V30" s="8" t="s">
        <v>754</v>
      </c>
    </row>
    <row r="31" spans="1:34">
      <c r="E31" s="8"/>
      <c r="O31"/>
      <c r="Q31" s="8" t="s">
        <v>755</v>
      </c>
      <c r="R31" s="8" t="s">
        <v>755</v>
      </c>
      <c r="S31" s="8" t="s">
        <v>755</v>
      </c>
      <c r="T31" s="8" t="s">
        <v>755</v>
      </c>
      <c r="U31" s="8" t="s">
        <v>755</v>
      </c>
      <c r="V31" s="8" t="s">
        <v>755</v>
      </c>
    </row>
    <row r="32" spans="1:34">
      <c r="E32" s="8"/>
      <c r="O32"/>
      <c r="U32" s="8"/>
      <c r="V32" s="8"/>
    </row>
    <row r="33" spans="1:34">
      <c r="E33" s="8"/>
      <c r="O33">
        <v>4</v>
      </c>
      <c r="P33" s="8" t="s">
        <v>305</v>
      </c>
      <c r="Q33" s="8" t="s">
        <v>18</v>
      </c>
      <c r="R33" s="8" t="s">
        <v>19</v>
      </c>
      <c r="S33" s="8" t="s">
        <v>20</v>
      </c>
      <c r="T33" s="8" t="s">
        <v>23</v>
      </c>
      <c r="U33" s="8" t="s">
        <v>21</v>
      </c>
      <c r="V33" s="8" t="s">
        <v>22</v>
      </c>
      <c r="W33" s="8" t="s">
        <v>109</v>
      </c>
      <c r="X33" s="8" t="s">
        <v>52</v>
      </c>
      <c r="Y33" s="8" t="s">
        <v>46</v>
      </c>
      <c r="Z33" s="8" t="s">
        <v>756</v>
      </c>
      <c r="AA33" s="8" t="s">
        <v>109</v>
      </c>
      <c r="AB33" s="8" t="s">
        <v>44</v>
      </c>
      <c r="AC33" s="8" t="s">
        <v>757</v>
      </c>
      <c r="AD33" s="8" t="s">
        <v>20</v>
      </c>
      <c r="AE33" s="8" t="s">
        <v>758</v>
      </c>
      <c r="AF33" s="8" t="s">
        <v>75</v>
      </c>
      <c r="AG33" s="8" t="s">
        <v>82</v>
      </c>
      <c r="AH33" s="8" t="s">
        <v>48</v>
      </c>
    </row>
    <row r="34" spans="1:34">
      <c r="A34" s="8" t="s">
        <v>710</v>
      </c>
      <c r="B34" s="8" t="s">
        <v>759</v>
      </c>
      <c r="C34" s="8" t="s">
        <v>696</v>
      </c>
      <c r="E34" s="8" t="s">
        <v>760</v>
      </c>
      <c r="O34"/>
      <c r="Q34" s="8" t="s">
        <v>754</v>
      </c>
      <c r="R34" s="8" t="s">
        <v>754</v>
      </c>
      <c r="S34" s="8" t="s">
        <v>754</v>
      </c>
      <c r="T34" s="8" t="s">
        <v>754</v>
      </c>
      <c r="U34" s="8" t="s">
        <v>754</v>
      </c>
      <c r="V34" s="8" t="s">
        <v>754</v>
      </c>
      <c r="W34" s="8" t="s">
        <v>754</v>
      </c>
      <c r="X34" s="8" t="s">
        <v>754</v>
      </c>
      <c r="Y34" s="8" t="s">
        <v>754</v>
      </c>
      <c r="Z34" s="8" t="s">
        <v>754</v>
      </c>
      <c r="AA34" s="8" t="s">
        <v>754</v>
      </c>
      <c r="AB34" s="8" t="s">
        <v>754</v>
      </c>
      <c r="AC34" s="8" t="s">
        <v>754</v>
      </c>
      <c r="AD34" s="8" t="s">
        <v>754</v>
      </c>
      <c r="AE34" s="8" t="s">
        <v>754</v>
      </c>
      <c r="AF34" s="8" t="s">
        <v>754</v>
      </c>
      <c r="AG34" s="8" t="s">
        <v>754</v>
      </c>
      <c r="AH34" s="8" t="s">
        <v>754</v>
      </c>
    </row>
    <row r="35" spans="1:34">
      <c r="A35" s="8" t="s">
        <v>710</v>
      </c>
      <c r="B35" s="8" t="s">
        <v>761</v>
      </c>
      <c r="C35" s="8" t="s">
        <v>696</v>
      </c>
      <c r="E35" s="8" t="s">
        <v>762</v>
      </c>
      <c r="O35"/>
      <c r="Q35" s="8" t="s">
        <v>763</v>
      </c>
      <c r="R35" s="8" t="s">
        <v>763</v>
      </c>
      <c r="S35" s="8" t="s">
        <v>763</v>
      </c>
      <c r="T35" s="8" t="s">
        <v>763</v>
      </c>
      <c r="U35" s="8" t="s">
        <v>763</v>
      </c>
      <c r="V35" s="8" t="s">
        <v>763</v>
      </c>
      <c r="W35" s="8" t="s">
        <v>764</v>
      </c>
      <c r="X35" s="8" t="s">
        <v>765</v>
      </c>
      <c r="Y35" s="8" t="s">
        <v>765</v>
      </c>
      <c r="Z35" s="8" t="s">
        <v>766</v>
      </c>
      <c r="AA35" s="8" t="s">
        <v>764</v>
      </c>
      <c r="AB35" s="8" t="s">
        <v>767</v>
      </c>
      <c r="AC35" s="8" t="s">
        <v>768</v>
      </c>
      <c r="AD35" s="8" t="s">
        <v>767</v>
      </c>
      <c r="AE35" s="8" t="s">
        <v>767</v>
      </c>
      <c r="AF35" s="8" t="s">
        <v>767</v>
      </c>
      <c r="AG35" s="8" t="s">
        <v>767</v>
      </c>
      <c r="AH35" s="8" t="s">
        <v>769</v>
      </c>
    </row>
    <row r="36" spans="1:34">
      <c r="A36" s="8" t="s">
        <v>710</v>
      </c>
      <c r="B36" s="8" t="s">
        <v>770</v>
      </c>
      <c r="C36" s="8" t="s">
        <v>696</v>
      </c>
      <c r="E36" s="8" t="s">
        <v>771</v>
      </c>
      <c r="O36"/>
      <c r="U36" s="8"/>
      <c r="V36" s="8"/>
    </row>
    <row r="37" ht="15" spans="1:34">
      <c r="A37" s="8" t="s">
        <v>710</v>
      </c>
      <c r="B37" s="8" t="s">
        <v>772</v>
      </c>
      <c r="C37" s="8" t="s">
        <v>696</v>
      </c>
      <c r="E37" s="8" t="s">
        <v>773</v>
      </c>
      <c r="O37">
        <v>4</v>
      </c>
      <c r="P37" s="8" t="s">
        <v>310</v>
      </c>
      <c r="Q37" s="8" t="s">
        <v>774</v>
      </c>
      <c r="R37" s="8" t="s">
        <v>76</v>
      </c>
      <c r="S37" s="8" t="s">
        <v>77</v>
      </c>
      <c r="T37" s="8" t="s">
        <v>775</v>
      </c>
      <c r="U37" s="8" t="s">
        <v>776</v>
      </c>
      <c r="V37" s="8"/>
      <c r="W37" s="8" t="s">
        <v>751</v>
      </c>
      <c r="X37" s="8" t="s">
        <v>752</v>
      </c>
      <c r="Z37" s="8" t="s">
        <v>751</v>
      </c>
      <c r="AA37" s="8" t="s">
        <v>752</v>
      </c>
      <c r="AC37" s="8" t="s">
        <v>751</v>
      </c>
      <c r="AD37" s="8" t="s">
        <v>752</v>
      </c>
      <c r="AF37" s="8" t="s">
        <v>751</v>
      </c>
      <c r="AG37" s="8" t="s">
        <v>752</v>
      </c>
    </row>
    <row r="38" spans="1:34">
      <c r="A38" s="8" t="s">
        <v>710</v>
      </c>
      <c r="B38" s="8" t="s">
        <v>777</v>
      </c>
      <c r="C38" s="8" t="s">
        <v>696</v>
      </c>
      <c r="E38" s="8" t="s">
        <v>778</v>
      </c>
      <c r="O38"/>
      <c r="Q38" s="8" t="s">
        <v>754</v>
      </c>
      <c r="R38" s="8" t="s">
        <v>754</v>
      </c>
      <c r="S38" s="8" t="s">
        <v>754</v>
      </c>
      <c r="T38" s="8" t="s">
        <v>754</v>
      </c>
      <c r="U38" s="8" t="s">
        <v>754</v>
      </c>
      <c r="V38" s="8"/>
    </row>
    <row r="39" spans="1:34">
      <c r="A39" s="8" t="s">
        <v>710</v>
      </c>
      <c r="B39" s="8" t="s">
        <v>475</v>
      </c>
      <c r="C39" s="8" t="s">
        <v>696</v>
      </c>
      <c r="E39" s="8" t="s">
        <v>779</v>
      </c>
      <c r="O39"/>
      <c r="Q39" s="8" t="s">
        <v>780</v>
      </c>
      <c r="R39" s="8" t="s">
        <v>767</v>
      </c>
      <c r="S39" s="8" t="s">
        <v>767</v>
      </c>
      <c r="T39" s="8" t="s">
        <v>767</v>
      </c>
      <c r="U39" s="8" t="s">
        <v>767</v>
      </c>
      <c r="V39" s="8"/>
    </row>
    <row r="40" spans="1:34">
      <c r="A40" s="8" t="s">
        <v>710</v>
      </c>
      <c r="B40" s="8" t="s">
        <v>781</v>
      </c>
      <c r="C40" s="8" t="s">
        <v>696</v>
      </c>
      <c r="E40" s="8" t="s">
        <v>782</v>
      </c>
      <c r="O40"/>
      <c r="V40" s="8"/>
    </row>
    <row r="41" spans="1:34">
      <c r="A41" s="8" t="s">
        <v>710</v>
      </c>
      <c r="B41" s="8" t="s">
        <v>508</v>
      </c>
      <c r="C41" s="8" t="s">
        <v>696</v>
      </c>
      <c r="E41" s="8" t="s">
        <v>783</v>
      </c>
      <c r="O41">
        <v>4</v>
      </c>
      <c r="P41" s="8" t="s">
        <v>315</v>
      </c>
      <c r="Q41" s="8" t="s">
        <v>784</v>
      </c>
      <c r="R41" s="8" t="s">
        <v>75</v>
      </c>
      <c r="S41" s="8" t="s">
        <v>117</v>
      </c>
      <c r="T41" s="8" t="s">
        <v>44</v>
      </c>
      <c r="V41" s="8"/>
      <c r="X41" s="8" t="s">
        <v>785</v>
      </c>
      <c r="AA41" s="8" t="s">
        <v>784</v>
      </c>
      <c r="AD41" s="8" t="s">
        <v>68</v>
      </c>
      <c r="AG41" s="8" t="s">
        <v>113</v>
      </c>
    </row>
    <row r="42" spans="1:34">
      <c r="A42" s="8" t="s">
        <v>710</v>
      </c>
      <c r="B42" s="8" t="s">
        <v>710</v>
      </c>
      <c r="C42" s="8" t="s">
        <v>696</v>
      </c>
      <c r="E42" s="8" t="s">
        <v>786</v>
      </c>
      <c r="O42"/>
      <c r="Q42" s="8" t="s">
        <v>754</v>
      </c>
      <c r="R42" s="8" t="s">
        <v>754</v>
      </c>
      <c r="S42" s="8" t="s">
        <v>754</v>
      </c>
      <c r="T42" s="8" t="s">
        <v>754</v>
      </c>
      <c r="U42" s="8"/>
      <c r="V42" s="8"/>
      <c r="X42" s="8" t="s">
        <v>754</v>
      </c>
      <c r="AA42" s="8" t="s">
        <v>754</v>
      </c>
      <c r="AD42" s="8" t="s">
        <v>754</v>
      </c>
      <c r="AG42" s="8" t="s">
        <v>754</v>
      </c>
    </row>
    <row r="43" spans="1:34">
      <c r="A43" s="8" t="s">
        <v>710</v>
      </c>
      <c r="B43" s="8" t="s">
        <v>787</v>
      </c>
      <c r="C43" s="8" t="s">
        <v>696</v>
      </c>
      <c r="E43" s="8" t="s">
        <v>788</v>
      </c>
      <c r="Q43" s="8" t="s">
        <v>767</v>
      </c>
      <c r="R43" s="8" t="s">
        <v>767</v>
      </c>
      <c r="S43" s="8" t="s">
        <v>764</v>
      </c>
      <c r="T43" s="8" t="s">
        <v>767</v>
      </c>
      <c r="U43" s="8"/>
      <c r="V43" s="8"/>
      <c r="X43" s="8" t="s">
        <v>766</v>
      </c>
      <c r="AA43" s="8" t="s">
        <v>767</v>
      </c>
      <c r="AD43" s="8" t="s">
        <v>767</v>
      </c>
      <c r="AG43" s="8" t="s">
        <v>767</v>
      </c>
    </row>
    <row r="44" spans="1:34">
      <c r="A44" s="8" t="s">
        <v>710</v>
      </c>
      <c r="B44" s="8" t="s">
        <v>789</v>
      </c>
      <c r="C44" s="8" t="s">
        <v>790</v>
      </c>
      <c r="D44" s="8" t="s">
        <v>791</v>
      </c>
      <c r="E44" s="8" t="s">
        <v>792</v>
      </c>
      <c r="U44" s="8"/>
      <c r="V44" s="8"/>
    </row>
    <row r="45" spans="1:34">
      <c r="A45" s="8" t="s">
        <v>710</v>
      </c>
      <c r="B45" s="8" t="s">
        <v>793</v>
      </c>
      <c r="C45" s="8" t="s">
        <v>790</v>
      </c>
      <c r="D45" s="8" t="s">
        <v>791</v>
      </c>
      <c r="E45" s="8" t="s">
        <v>794</v>
      </c>
      <c r="O45" s="10">
        <v>4</v>
      </c>
      <c r="P45" s="8" t="s">
        <v>795</v>
      </c>
      <c r="Q45" s="8" t="s">
        <v>27</v>
      </c>
      <c r="R45" s="8" t="s">
        <v>28</v>
      </c>
      <c r="S45" s="8" t="s">
        <v>29</v>
      </c>
      <c r="T45" s="8" t="s">
        <v>32</v>
      </c>
      <c r="U45" s="8" t="s">
        <v>30</v>
      </c>
      <c r="V45" s="8" t="s">
        <v>31</v>
      </c>
      <c r="X45" s="8" t="s">
        <v>32</v>
      </c>
      <c r="Z45" s="8" t="s">
        <v>117</v>
      </c>
      <c r="AA45" s="8" t="s">
        <v>32</v>
      </c>
      <c r="AC45" s="8" t="s">
        <v>47</v>
      </c>
      <c r="AD45" s="8" t="s">
        <v>18</v>
      </c>
      <c r="AE45" s="8" t="s">
        <v>76</v>
      </c>
      <c r="AF45" s="8" t="s">
        <v>32</v>
      </c>
      <c r="AG45" s="8" t="s">
        <v>22</v>
      </c>
      <c r="AH45" s="8" t="s">
        <v>23</v>
      </c>
    </row>
    <row r="46" spans="1:34">
      <c r="A46" s="8" t="s">
        <v>710</v>
      </c>
      <c r="B46" s="8" t="s">
        <v>796</v>
      </c>
      <c r="C46" s="8" t="s">
        <v>790</v>
      </c>
      <c r="D46" s="8" t="s">
        <v>791</v>
      </c>
      <c r="E46" s="8" t="s">
        <v>797</v>
      </c>
      <c r="Q46" s="8" t="s">
        <v>754</v>
      </c>
      <c r="R46" s="8" t="s">
        <v>754</v>
      </c>
      <c r="S46" s="8" t="s">
        <v>754</v>
      </c>
      <c r="T46" s="8" t="s">
        <v>754</v>
      </c>
      <c r="U46" s="8" t="s">
        <v>754</v>
      </c>
      <c r="V46" s="8" t="s">
        <v>754</v>
      </c>
      <c r="X46" s="8" t="s">
        <v>754</v>
      </c>
      <c r="Z46" s="8" t="s">
        <v>754</v>
      </c>
      <c r="AA46" s="8" t="s">
        <v>754</v>
      </c>
      <c r="AC46" s="8" t="s">
        <v>754</v>
      </c>
      <c r="AD46" s="8" t="s">
        <v>754</v>
      </c>
      <c r="AE46" s="8" t="s">
        <v>754</v>
      </c>
      <c r="AF46" s="8" t="s">
        <v>754</v>
      </c>
      <c r="AG46" s="8" t="s">
        <v>754</v>
      </c>
      <c r="AH46" s="8" t="s">
        <v>754</v>
      </c>
    </row>
    <row r="47" spans="1:34">
      <c r="A47" s="8" t="s">
        <v>710</v>
      </c>
      <c r="B47" s="8" t="s">
        <v>798</v>
      </c>
      <c r="C47" s="8" t="s">
        <v>790</v>
      </c>
      <c r="D47" s="8" t="s">
        <v>791</v>
      </c>
      <c r="E47" s="8" t="s">
        <v>799</v>
      </c>
      <c r="Q47" s="8" t="s">
        <v>800</v>
      </c>
      <c r="R47" s="8" t="s">
        <v>800</v>
      </c>
      <c r="S47" s="8" t="s">
        <v>800</v>
      </c>
      <c r="T47" s="8" t="s">
        <v>800</v>
      </c>
      <c r="U47" s="8" t="s">
        <v>800</v>
      </c>
      <c r="V47" s="8" t="s">
        <v>800</v>
      </c>
      <c r="X47" s="8" t="s">
        <v>801</v>
      </c>
      <c r="Z47" s="8" t="s">
        <v>767</v>
      </c>
      <c r="AA47" s="8" t="s">
        <v>801</v>
      </c>
      <c r="AC47" s="8" t="s">
        <v>766</v>
      </c>
      <c r="AD47" s="8" t="s">
        <v>766</v>
      </c>
      <c r="AE47" s="8" t="s">
        <v>767</v>
      </c>
      <c r="AF47" s="8" t="s">
        <v>801</v>
      </c>
      <c r="AG47" s="8" t="s">
        <v>766</v>
      </c>
      <c r="AH47" s="8" t="s">
        <v>801</v>
      </c>
    </row>
    <row r="48" spans="1:34">
      <c r="A48" s="8" t="s">
        <v>710</v>
      </c>
      <c r="B48" s="8" t="s">
        <v>802</v>
      </c>
      <c r="C48" s="8" t="s">
        <v>790</v>
      </c>
      <c r="D48" s="8" t="s">
        <v>803</v>
      </c>
      <c r="E48" s="8" t="s">
        <v>804</v>
      </c>
      <c r="O48"/>
    </row>
    <row r="49" spans="1:34">
      <c r="A49" s="8" t="s">
        <v>710</v>
      </c>
      <c r="B49" s="8" t="s">
        <v>805</v>
      </c>
      <c r="C49" s="8" t="s">
        <v>790</v>
      </c>
      <c r="D49" s="8" t="s">
        <v>791</v>
      </c>
      <c r="E49" s="8" t="s">
        <v>806</v>
      </c>
      <c r="O49">
        <v>6</v>
      </c>
      <c r="P49" s="8" t="s">
        <v>807</v>
      </c>
      <c r="Q49" s="8" t="s">
        <v>97</v>
      </c>
      <c r="R49" s="8" t="s">
        <v>96</v>
      </c>
      <c r="S49" s="8" t="s">
        <v>98</v>
      </c>
      <c r="T49" s="8" t="s">
        <v>95</v>
      </c>
      <c r="U49" s="8" t="s">
        <v>82</v>
      </c>
      <c r="W49" s="8" t="s">
        <v>751</v>
      </c>
      <c r="X49" s="8" t="s">
        <v>752</v>
      </c>
      <c r="Y49" s="8" t="s">
        <v>753</v>
      </c>
      <c r="Z49" s="8" t="s">
        <v>751</v>
      </c>
      <c r="AA49" s="8" t="s">
        <v>752</v>
      </c>
      <c r="AB49" s="8" t="s">
        <v>753</v>
      </c>
      <c r="AC49" s="8" t="s">
        <v>751</v>
      </c>
      <c r="AD49" s="8" t="s">
        <v>752</v>
      </c>
      <c r="AE49" s="8" t="s">
        <v>753</v>
      </c>
      <c r="AF49" s="8" t="s">
        <v>751</v>
      </c>
      <c r="AG49" s="8" t="s">
        <v>752</v>
      </c>
      <c r="AH49" s="8" t="s">
        <v>753</v>
      </c>
    </row>
    <row r="50" spans="1:34">
      <c r="A50" s="8" t="s">
        <v>710</v>
      </c>
      <c r="B50" s="8" t="s">
        <v>808</v>
      </c>
      <c r="C50" s="8" t="s">
        <v>790</v>
      </c>
      <c r="D50" s="8" t="s">
        <v>809</v>
      </c>
      <c r="E50" s="8" t="s">
        <v>810</v>
      </c>
      <c r="O50"/>
      <c r="Q50" s="8" t="s">
        <v>754</v>
      </c>
      <c r="R50" s="8" t="s">
        <v>754</v>
      </c>
      <c r="S50" s="8" t="s">
        <v>754</v>
      </c>
      <c r="T50" s="8" t="s">
        <v>754</v>
      </c>
      <c r="U50" s="8" t="s">
        <v>754</v>
      </c>
      <c r="V50" s="8"/>
    </row>
    <row r="51" spans="1:34">
      <c r="A51" s="8" t="s">
        <v>710</v>
      </c>
      <c r="B51" s="8" t="s">
        <v>811</v>
      </c>
      <c r="C51" s="8" t="s">
        <v>790</v>
      </c>
      <c r="D51" s="8" t="s">
        <v>812</v>
      </c>
      <c r="E51" s="8" t="s">
        <v>813</v>
      </c>
      <c r="O51"/>
      <c r="Q51" s="8" t="s">
        <v>767</v>
      </c>
      <c r="R51" s="8" t="s">
        <v>767</v>
      </c>
      <c r="S51" s="8" t="s">
        <v>767</v>
      </c>
      <c r="T51" s="8" t="s">
        <v>767</v>
      </c>
      <c r="U51" s="8" t="s">
        <v>767</v>
      </c>
    </row>
    <row r="52" spans="1:34">
      <c r="A52" s="8" t="s">
        <v>710</v>
      </c>
      <c r="B52" s="8" t="s">
        <v>814</v>
      </c>
      <c r="C52" s="8" t="s">
        <v>790</v>
      </c>
      <c r="D52" s="8" t="s">
        <v>791</v>
      </c>
      <c r="E52" s="8" t="s">
        <v>815</v>
      </c>
      <c r="O52"/>
    </row>
    <row r="53" spans="1:34">
      <c r="A53" s="8" t="s">
        <v>710</v>
      </c>
      <c r="B53" s="8" t="s">
        <v>816</v>
      </c>
      <c r="C53" s="8" t="s">
        <v>790</v>
      </c>
      <c r="D53" s="8" t="s">
        <v>791</v>
      </c>
      <c r="E53" s="8" t="s">
        <v>817</v>
      </c>
      <c r="O53">
        <v>6</v>
      </c>
      <c r="P53" s="8" t="s">
        <v>818</v>
      </c>
      <c r="Q53" s="8" t="s">
        <v>9</v>
      </c>
      <c r="R53" s="8" t="s">
        <v>10</v>
      </c>
      <c r="S53" s="8" t="s">
        <v>11</v>
      </c>
      <c r="T53" s="8" t="s">
        <v>14</v>
      </c>
      <c r="U53" s="8" t="s">
        <v>12</v>
      </c>
      <c r="V53" s="8" t="s">
        <v>13</v>
      </c>
      <c r="W53" s="8" t="s">
        <v>46</v>
      </c>
      <c r="X53" s="8" t="s">
        <v>55</v>
      </c>
      <c r="Z53" s="8" t="s">
        <v>756</v>
      </c>
      <c r="AA53" s="8" t="s">
        <v>44</v>
      </c>
      <c r="AB53" s="8" t="s">
        <v>103</v>
      </c>
      <c r="AC53" s="8" t="s">
        <v>85</v>
      </c>
      <c r="AD53" s="8" t="s">
        <v>27</v>
      </c>
      <c r="AE53" s="8" t="s">
        <v>819</v>
      </c>
      <c r="AF53" s="8" t="s">
        <v>75</v>
      </c>
      <c r="AG53" s="8" t="s">
        <v>31</v>
      </c>
      <c r="AH53" s="8" t="s">
        <v>48</v>
      </c>
    </row>
    <row r="54" spans="1:34">
      <c r="A54" s="8" t="s">
        <v>710</v>
      </c>
      <c r="B54" s="8" t="s">
        <v>787</v>
      </c>
      <c r="C54" s="8" t="s">
        <v>820</v>
      </c>
      <c r="D54" s="8" t="s">
        <v>791</v>
      </c>
      <c r="E54" s="8" t="s">
        <v>821</v>
      </c>
      <c r="O54"/>
      <c r="Q54" s="8" t="s">
        <v>822</v>
      </c>
      <c r="R54" s="8" t="s">
        <v>822</v>
      </c>
      <c r="S54" s="8" t="s">
        <v>822</v>
      </c>
      <c r="T54" s="8" t="s">
        <v>822</v>
      </c>
      <c r="U54" s="8" t="s">
        <v>822</v>
      </c>
      <c r="V54" s="8" t="s">
        <v>822</v>
      </c>
      <c r="W54" s="8" t="s">
        <v>822</v>
      </c>
      <c r="X54" s="8" t="s">
        <v>754</v>
      </c>
      <c r="Z54" s="8" t="s">
        <v>754</v>
      </c>
      <c r="AA54" s="8" t="s">
        <v>754</v>
      </c>
      <c r="AB54" s="8" t="s">
        <v>822</v>
      </c>
      <c r="AC54" s="8" t="s">
        <v>754</v>
      </c>
      <c r="AD54" s="8" t="s">
        <v>822</v>
      </c>
      <c r="AE54" s="8" t="s">
        <v>822</v>
      </c>
      <c r="AF54" s="8" t="s">
        <v>754</v>
      </c>
      <c r="AG54" s="8" t="s">
        <v>822</v>
      </c>
    </row>
    <row r="55" spans="1:34">
      <c r="A55" s="8" t="s">
        <v>710</v>
      </c>
      <c r="B55" s="8" t="s">
        <v>823</v>
      </c>
      <c r="C55" s="8" t="s">
        <v>820</v>
      </c>
      <c r="D55" s="8" t="s">
        <v>824</v>
      </c>
      <c r="E55" s="8" t="s">
        <v>825</v>
      </c>
      <c r="O55"/>
      <c r="Q55" s="8" t="s">
        <v>826</v>
      </c>
      <c r="R55" s="8" t="s">
        <v>827</v>
      </c>
      <c r="S55" s="8" t="s">
        <v>827</v>
      </c>
      <c r="T55" s="8" t="s">
        <v>827</v>
      </c>
      <c r="U55" s="8" t="s">
        <v>827</v>
      </c>
      <c r="V55" s="8" t="s">
        <v>827</v>
      </c>
      <c r="W55" s="8" t="s">
        <v>827</v>
      </c>
      <c r="X55" s="8" t="s">
        <v>801</v>
      </c>
      <c r="Z55" s="8" t="s">
        <v>827</v>
      </c>
      <c r="AA55" s="8" t="s">
        <v>801</v>
      </c>
      <c r="AB55" s="8" t="s">
        <v>828</v>
      </c>
      <c r="AC55" s="8" t="s">
        <v>769</v>
      </c>
      <c r="AD55" s="8" t="s">
        <v>829</v>
      </c>
      <c r="AE55" s="8" t="s">
        <v>828</v>
      </c>
      <c r="AF55" s="8" t="s">
        <v>828</v>
      </c>
      <c r="AG55" s="8" t="s">
        <v>829</v>
      </c>
    </row>
    <row r="56" spans="1:34">
      <c r="A56" s="8" t="s">
        <v>710</v>
      </c>
      <c r="B56" s="8" t="s">
        <v>830</v>
      </c>
      <c r="C56" s="8" t="s">
        <v>820</v>
      </c>
      <c r="D56" s="8" t="s">
        <v>791</v>
      </c>
      <c r="E56" s="8" t="s">
        <v>831</v>
      </c>
      <c r="O56"/>
    </row>
    <row r="57" spans="1:34">
      <c r="A57" s="8" t="s">
        <v>710</v>
      </c>
      <c r="B57" s="8" t="s">
        <v>832</v>
      </c>
      <c r="C57" s="8" t="s">
        <v>820</v>
      </c>
      <c r="D57" s="8" t="s">
        <v>824</v>
      </c>
      <c r="E57" s="8" t="s">
        <v>833</v>
      </c>
      <c r="O57">
        <v>6</v>
      </c>
      <c r="P57" s="8" t="s">
        <v>834</v>
      </c>
      <c r="Q57" s="8" t="s">
        <v>54</v>
      </c>
      <c r="R57" s="8" t="s">
        <v>835</v>
      </c>
      <c r="W57" s="8" t="s">
        <v>751</v>
      </c>
      <c r="X57" s="8" t="s">
        <v>752</v>
      </c>
      <c r="Z57" s="8" t="s">
        <v>751</v>
      </c>
      <c r="AA57" s="8" t="s">
        <v>752</v>
      </c>
      <c r="AC57" s="8" t="s">
        <v>751</v>
      </c>
      <c r="AD57" s="8" t="s">
        <v>752</v>
      </c>
      <c r="AF57" s="8" t="s">
        <v>751</v>
      </c>
      <c r="AG57" s="8" t="s">
        <v>752</v>
      </c>
    </row>
    <row r="58" spans="1:34">
      <c r="A58" s="8" t="s">
        <v>710</v>
      </c>
      <c r="B58" s="8" t="s">
        <v>836</v>
      </c>
      <c r="C58" s="8" t="s">
        <v>820</v>
      </c>
      <c r="D58" s="8" t="s">
        <v>803</v>
      </c>
      <c r="E58" s="8" t="s">
        <v>837</v>
      </c>
      <c r="O58"/>
      <c r="Q58" s="8" t="s">
        <v>822</v>
      </c>
      <c r="R58" s="8" t="s">
        <v>822</v>
      </c>
    </row>
    <row r="59" spans="1:34">
      <c r="A59" s="8" t="s">
        <v>710</v>
      </c>
      <c r="B59" s="8" t="s">
        <v>838</v>
      </c>
      <c r="C59" s="8" t="s">
        <v>820</v>
      </c>
      <c r="D59" s="8" t="s">
        <v>791</v>
      </c>
      <c r="E59" s="8" t="s">
        <v>839</v>
      </c>
      <c r="O59"/>
      <c r="Q59" s="8" t="s">
        <v>840</v>
      </c>
      <c r="R59" s="8" t="s">
        <v>828</v>
      </c>
    </row>
    <row r="60" spans="1:34">
      <c r="A60" s="8" t="s">
        <v>710</v>
      </c>
      <c r="B60" s="8" t="s">
        <v>841</v>
      </c>
      <c r="C60" s="8" t="s">
        <v>820</v>
      </c>
      <c r="D60" s="8" t="s">
        <v>842</v>
      </c>
      <c r="E60" s="8" t="s">
        <v>843</v>
      </c>
      <c r="O60"/>
    </row>
    <row r="61" spans="1:34">
      <c r="A61" s="8" t="s">
        <v>710</v>
      </c>
      <c r="B61" s="8" t="s">
        <v>844</v>
      </c>
      <c r="C61" s="8" t="s">
        <v>820</v>
      </c>
      <c r="D61" s="8" t="s">
        <v>791</v>
      </c>
      <c r="E61" s="8" t="s">
        <v>845</v>
      </c>
      <c r="O61">
        <v>6</v>
      </c>
      <c r="P61" s="8" t="s">
        <v>846</v>
      </c>
      <c r="Q61" s="8" t="s">
        <v>847</v>
      </c>
      <c r="R61" s="8" t="s">
        <v>848</v>
      </c>
      <c r="S61" s="8" t="s">
        <v>849</v>
      </c>
      <c r="T61" s="8" t="s">
        <v>118</v>
      </c>
      <c r="W61" s="8" t="s">
        <v>850</v>
      </c>
      <c r="Z61" s="8" t="s">
        <v>28</v>
      </c>
      <c r="AC61" s="8" t="s">
        <v>76</v>
      </c>
      <c r="AD61" s="8" t="s">
        <v>851</v>
      </c>
    </row>
    <row r="62" spans="1:34">
      <c r="A62" s="8" t="s">
        <v>710</v>
      </c>
      <c r="B62" s="8" t="s">
        <v>852</v>
      </c>
      <c r="C62" s="8" t="s">
        <v>820</v>
      </c>
      <c r="D62" s="8" t="s">
        <v>791</v>
      </c>
      <c r="E62" s="8" t="s">
        <v>853</v>
      </c>
      <c r="O62"/>
      <c r="Q62" s="8">
        <v>2</v>
      </c>
      <c r="R62" s="8">
        <v>2</v>
      </c>
      <c r="S62" s="8">
        <v>2</v>
      </c>
      <c r="T62" s="8" t="s">
        <v>822</v>
      </c>
      <c r="W62" s="8" t="s">
        <v>822</v>
      </c>
      <c r="Z62" s="8" t="s">
        <v>822</v>
      </c>
      <c r="AC62" s="8" t="s">
        <v>822</v>
      </c>
      <c r="AD62" s="8" t="s">
        <v>822</v>
      </c>
    </row>
    <row r="63" spans="1:34">
      <c r="A63" s="8" t="s">
        <v>710</v>
      </c>
      <c r="B63" s="8" t="s">
        <v>854</v>
      </c>
      <c r="C63" s="8" t="s">
        <v>820</v>
      </c>
      <c r="D63" s="8" t="s">
        <v>824</v>
      </c>
      <c r="E63" s="8" t="s">
        <v>855</v>
      </c>
      <c r="O63"/>
      <c r="Q63" s="8">
        <v>8</v>
      </c>
      <c r="R63" s="8">
        <v>20</v>
      </c>
      <c r="S63" s="11">
        <v>0.2</v>
      </c>
      <c r="T63" s="8" t="s">
        <v>766</v>
      </c>
      <c r="W63" s="8" t="s">
        <v>829</v>
      </c>
      <c r="Z63" s="8" t="s">
        <v>829</v>
      </c>
      <c r="AC63" s="8" t="s">
        <v>829</v>
      </c>
      <c r="AD63" s="8" t="s">
        <v>856</v>
      </c>
    </row>
    <row r="64" spans="1:34">
      <c r="A64" s="8" t="s">
        <v>718</v>
      </c>
      <c r="B64" s="8" t="s">
        <v>857</v>
      </c>
      <c r="C64" s="8" t="s">
        <v>696</v>
      </c>
      <c r="E64" s="8" t="s">
        <v>858</v>
      </c>
      <c r="O64"/>
    </row>
    <row r="65" spans="1:33">
      <c r="A65" s="8" t="s">
        <v>718</v>
      </c>
      <c r="B65" s="8" t="s">
        <v>859</v>
      </c>
      <c r="C65" s="8" t="s">
        <v>696</v>
      </c>
      <c r="E65" s="8" t="s">
        <v>860</v>
      </c>
      <c r="O65">
        <v>6</v>
      </c>
      <c r="P65" s="8" t="s">
        <v>861</v>
      </c>
      <c r="Q65" s="8" t="s">
        <v>86</v>
      </c>
      <c r="R65" s="8" t="s">
        <v>34</v>
      </c>
      <c r="S65" s="8" t="s">
        <v>35</v>
      </c>
      <c r="X65" s="8" t="s">
        <v>117</v>
      </c>
      <c r="AA65" s="8" t="s">
        <v>848</v>
      </c>
      <c r="AF65" s="8" t="s">
        <v>862</v>
      </c>
      <c r="AG65" s="8" t="s">
        <v>176</v>
      </c>
    </row>
    <row r="66" spans="1:33">
      <c r="A66" s="8" t="s">
        <v>718</v>
      </c>
      <c r="B66" s="8" t="s">
        <v>718</v>
      </c>
      <c r="C66" s="8" t="s">
        <v>696</v>
      </c>
      <c r="E66" s="8" t="s">
        <v>863</v>
      </c>
      <c r="Q66" s="8" t="s">
        <v>822</v>
      </c>
      <c r="R66" s="8" t="s">
        <v>822</v>
      </c>
      <c r="S66" s="8" t="s">
        <v>822</v>
      </c>
      <c r="X66" s="8" t="s">
        <v>822</v>
      </c>
      <c r="AA66" s="8" t="s">
        <v>822</v>
      </c>
      <c r="AG66" s="8" t="s">
        <v>822</v>
      </c>
    </row>
    <row r="67" spans="1:33">
      <c r="A67" s="8" t="s">
        <v>718</v>
      </c>
      <c r="B67" s="8" t="s">
        <v>511</v>
      </c>
      <c r="C67" s="8" t="s">
        <v>696</v>
      </c>
      <c r="E67" s="8" t="s">
        <v>864</v>
      </c>
      <c r="Q67" s="8" t="s">
        <v>769</v>
      </c>
      <c r="R67" s="8" t="s">
        <v>829</v>
      </c>
      <c r="S67" s="8" t="s">
        <v>829</v>
      </c>
      <c r="X67" s="8" t="s">
        <v>769</v>
      </c>
      <c r="AA67" s="8" t="s">
        <v>829</v>
      </c>
      <c r="AG67" s="8" t="s">
        <v>865</v>
      </c>
    </row>
    <row r="68" spans="1:33">
      <c r="A68" s="8" t="s">
        <v>718</v>
      </c>
      <c r="B68" s="8" t="s">
        <v>488</v>
      </c>
      <c r="C68" s="8" t="s">
        <v>696</v>
      </c>
      <c r="E68" s="8" t="s">
        <v>866</v>
      </c>
    </row>
    <row r="69" spans="1:33">
      <c r="A69" s="8" t="s">
        <v>718</v>
      </c>
      <c r="B69" s="8" t="s">
        <v>867</v>
      </c>
      <c r="C69" s="8" t="s">
        <v>696</v>
      </c>
      <c r="E69" s="8" t="s">
        <v>868</v>
      </c>
    </row>
    <row r="70" spans="1:33">
      <c r="A70" s="8" t="s">
        <v>718</v>
      </c>
      <c r="B70" s="8" t="s">
        <v>869</v>
      </c>
      <c r="C70" s="8" t="s">
        <v>696</v>
      </c>
      <c r="E70" s="8" t="s">
        <v>870</v>
      </c>
    </row>
    <row r="71" spans="1:33">
      <c r="A71" s="8" t="s">
        <v>718</v>
      </c>
      <c r="B71" s="8" t="s">
        <v>871</v>
      </c>
      <c r="C71" s="8" t="s">
        <v>696</v>
      </c>
      <c r="E71" s="8" t="s">
        <v>872</v>
      </c>
    </row>
    <row r="72" spans="1:33">
      <c r="A72" s="8" t="s">
        <v>718</v>
      </c>
      <c r="B72" s="8" t="s">
        <v>873</v>
      </c>
      <c r="C72" s="8" t="s">
        <v>696</v>
      </c>
      <c r="E72" s="8" t="s">
        <v>874</v>
      </c>
    </row>
    <row r="73" spans="1:33">
      <c r="A73" s="8" t="s">
        <v>718</v>
      </c>
      <c r="B73" s="8" t="s">
        <v>875</v>
      </c>
      <c r="C73" s="8" t="s">
        <v>696</v>
      </c>
      <c r="E73" s="8" t="s">
        <v>876</v>
      </c>
    </row>
    <row r="74" spans="1:33">
      <c r="A74" s="8" t="s">
        <v>718</v>
      </c>
      <c r="B74" s="8" t="s">
        <v>877</v>
      </c>
      <c r="C74" s="8" t="s">
        <v>790</v>
      </c>
      <c r="D74" s="8" t="s">
        <v>878</v>
      </c>
      <c r="E74" s="8" t="s">
        <v>879</v>
      </c>
      <c r="Q74" t="s">
        <v>880</v>
      </c>
      <c r="R74"/>
    </row>
    <row r="75" spans="1:33">
      <c r="A75" s="8" t="s">
        <v>718</v>
      </c>
      <c r="B75" s="8" t="s">
        <v>881</v>
      </c>
      <c r="C75" s="8" t="s">
        <v>790</v>
      </c>
      <c r="D75" s="8" t="s">
        <v>824</v>
      </c>
      <c r="E75" s="8" t="s">
        <v>882</v>
      </c>
      <c r="Q75" t="s">
        <v>883</v>
      </c>
      <c r="R75"/>
    </row>
    <row r="76" spans="1:33">
      <c r="A76" s="8" t="s">
        <v>718</v>
      </c>
      <c r="B76" s="8" t="s">
        <v>884</v>
      </c>
      <c r="C76" s="8" t="s">
        <v>790</v>
      </c>
      <c r="D76" s="8" t="s">
        <v>791</v>
      </c>
      <c r="E76" s="8" t="s">
        <v>885</v>
      </c>
      <c r="Q76" t="s">
        <v>886</v>
      </c>
      <c r="R76"/>
    </row>
    <row r="77" spans="1:33">
      <c r="A77" s="8" t="s">
        <v>718</v>
      </c>
      <c r="B77" s="8" t="s">
        <v>887</v>
      </c>
      <c r="C77" s="8" t="s">
        <v>790</v>
      </c>
      <c r="D77" s="8" t="s">
        <v>791</v>
      </c>
      <c r="E77" s="8" t="s">
        <v>888</v>
      </c>
      <c r="Q77" t="s">
        <v>889</v>
      </c>
      <c r="R77"/>
    </row>
    <row r="78" spans="1:33">
      <c r="A78" s="8" t="s">
        <v>718</v>
      </c>
      <c r="B78" s="8" t="s">
        <v>890</v>
      </c>
      <c r="C78" s="8" t="s">
        <v>790</v>
      </c>
      <c r="D78" s="8" t="s">
        <v>878</v>
      </c>
      <c r="E78" s="8" t="s">
        <v>891</v>
      </c>
      <c r="Q78" t="s">
        <v>162</v>
      </c>
      <c r="R78" t="s">
        <v>892</v>
      </c>
      <c r="S78" s="8" t="s">
        <v>893</v>
      </c>
      <c r="U78" t="s">
        <v>894</v>
      </c>
    </row>
    <row r="79" spans="1:33">
      <c r="A79" s="8" t="s">
        <v>718</v>
      </c>
      <c r="B79" s="8" t="s">
        <v>895</v>
      </c>
      <c r="C79" s="8" t="s">
        <v>790</v>
      </c>
      <c r="E79" s="8" t="s">
        <v>896</v>
      </c>
      <c r="Q79" t="s">
        <v>739</v>
      </c>
      <c r="R79" t="s">
        <v>897</v>
      </c>
      <c r="S79" s="8" t="s">
        <v>898</v>
      </c>
      <c r="U79" t="s">
        <v>899</v>
      </c>
    </row>
    <row r="80" spans="1:33">
      <c r="A80" s="8" t="s">
        <v>718</v>
      </c>
      <c r="B80" s="8" t="s">
        <v>900</v>
      </c>
      <c r="C80" s="8" t="s">
        <v>790</v>
      </c>
      <c r="D80" s="8" t="s">
        <v>791</v>
      </c>
      <c r="E80" s="8" t="s">
        <v>901</v>
      </c>
      <c r="Q80" t="s">
        <v>741</v>
      </c>
      <c r="R80" t="s">
        <v>897</v>
      </c>
      <c r="S80" s="8" t="s">
        <v>902</v>
      </c>
      <c r="U80" t="s">
        <v>903</v>
      </c>
    </row>
    <row r="81" spans="1:21">
      <c r="A81" s="8" t="s">
        <v>718</v>
      </c>
      <c r="B81" s="8" t="s">
        <v>904</v>
      </c>
      <c r="C81" s="8" t="s">
        <v>790</v>
      </c>
      <c r="D81" s="8" t="s">
        <v>791</v>
      </c>
      <c r="E81" s="8" t="s">
        <v>905</v>
      </c>
      <c r="Q81" t="s">
        <v>745</v>
      </c>
      <c r="R81" t="s">
        <v>906</v>
      </c>
      <c r="S81" s="8" t="s">
        <v>907</v>
      </c>
      <c r="U81" t="s">
        <v>908</v>
      </c>
    </row>
    <row r="82" spans="1:21">
      <c r="A82" s="8" t="s">
        <v>718</v>
      </c>
      <c r="B82" s="8" t="s">
        <v>909</v>
      </c>
      <c r="C82" s="8" t="s">
        <v>790</v>
      </c>
      <c r="D82" s="8" t="s">
        <v>791</v>
      </c>
      <c r="E82" s="8" t="s">
        <v>910</v>
      </c>
      <c r="Q82" t="s">
        <v>911</v>
      </c>
      <c r="R82" t="s">
        <v>912</v>
      </c>
      <c r="S82" s="8" t="s">
        <v>913</v>
      </c>
      <c r="U82" t="s">
        <v>914</v>
      </c>
    </row>
    <row r="83" spans="1:21">
      <c r="A83" s="8" t="s">
        <v>718</v>
      </c>
      <c r="B83" s="8" t="s">
        <v>915</v>
      </c>
      <c r="C83" s="8" t="s">
        <v>790</v>
      </c>
      <c r="D83" s="8" t="s">
        <v>824</v>
      </c>
      <c r="E83" s="8" t="s">
        <v>916</v>
      </c>
    </row>
    <row r="84" spans="1:21">
      <c r="A84" s="8" t="s">
        <v>718</v>
      </c>
      <c r="B84" s="8" t="s">
        <v>917</v>
      </c>
      <c r="C84" s="8" t="s">
        <v>820</v>
      </c>
      <c r="D84" s="8" t="s">
        <v>824</v>
      </c>
      <c r="E84" s="8" t="s">
        <v>918</v>
      </c>
    </row>
    <row r="85" spans="1:21">
      <c r="A85" s="8" t="s">
        <v>718</v>
      </c>
      <c r="B85" s="8" t="s">
        <v>919</v>
      </c>
      <c r="C85" s="8" t="s">
        <v>820</v>
      </c>
      <c r="E85" s="8" t="s">
        <v>920</v>
      </c>
    </row>
    <row r="86" spans="1:21">
      <c r="A86" s="8" t="s">
        <v>718</v>
      </c>
      <c r="B86" s="8" t="s">
        <v>921</v>
      </c>
      <c r="C86" s="8" t="s">
        <v>820</v>
      </c>
      <c r="E86" s="8" t="s">
        <v>922</v>
      </c>
      <c r="Q86" s="8" t="s">
        <v>923</v>
      </c>
    </row>
    <row r="87" spans="1:21">
      <c r="A87" s="8" t="s">
        <v>718</v>
      </c>
      <c r="B87" s="8" t="s">
        <v>924</v>
      </c>
      <c r="C87" s="8" t="s">
        <v>820</v>
      </c>
      <c r="D87" s="8" t="s">
        <v>824</v>
      </c>
      <c r="E87" s="8" t="s">
        <v>925</v>
      </c>
      <c r="Q87" s="8" t="s">
        <v>926</v>
      </c>
    </row>
    <row r="88" spans="1:21">
      <c r="A88" s="8" t="s">
        <v>718</v>
      </c>
      <c r="B88" s="8" t="s">
        <v>927</v>
      </c>
      <c r="C88" s="8" t="s">
        <v>820</v>
      </c>
      <c r="D88" s="8" t="s">
        <v>824</v>
      </c>
      <c r="E88" s="8" t="s">
        <v>928</v>
      </c>
    </row>
    <row r="89" spans="1:21">
      <c r="A89" s="8" t="s">
        <v>718</v>
      </c>
      <c r="B89" s="8" t="s">
        <v>486</v>
      </c>
      <c r="C89" s="8" t="s">
        <v>820</v>
      </c>
      <c r="D89" s="8" t="s">
        <v>878</v>
      </c>
      <c r="E89" s="8" t="s">
        <v>929</v>
      </c>
    </row>
    <row r="90" spans="1:21">
      <c r="A90" s="8" t="s">
        <v>718</v>
      </c>
      <c r="B90" s="8" t="s">
        <v>497</v>
      </c>
      <c r="C90" s="8" t="s">
        <v>820</v>
      </c>
      <c r="D90" s="8" t="s">
        <v>842</v>
      </c>
      <c r="E90" s="8" t="s">
        <v>930</v>
      </c>
    </row>
    <row r="91" spans="1:21">
      <c r="A91" s="8" t="s">
        <v>718</v>
      </c>
      <c r="B91" s="8" t="s">
        <v>931</v>
      </c>
      <c r="C91" s="8" t="s">
        <v>820</v>
      </c>
      <c r="D91" s="8" t="s">
        <v>791</v>
      </c>
      <c r="E91" s="8" t="s">
        <v>932</v>
      </c>
    </row>
    <row r="92" spans="1:21">
      <c r="A92" s="8" t="s">
        <v>718</v>
      </c>
      <c r="B92" s="8" t="s">
        <v>933</v>
      </c>
      <c r="C92" s="8" t="s">
        <v>820</v>
      </c>
      <c r="D92" s="8" t="s">
        <v>878</v>
      </c>
      <c r="E92" s="8" t="s">
        <v>934</v>
      </c>
    </row>
    <row r="93" spans="1:21">
      <c r="A93" s="8" t="s">
        <v>718</v>
      </c>
      <c r="B93" s="8" t="s">
        <v>935</v>
      </c>
      <c r="C93" s="8" t="s">
        <v>820</v>
      </c>
      <c r="D93" s="8" t="s">
        <v>824</v>
      </c>
      <c r="E93" s="8" t="s">
        <v>936</v>
      </c>
    </row>
    <row r="94" spans="1:21">
      <c r="A94" s="8" t="s">
        <v>728</v>
      </c>
      <c r="B94" s="8" t="s">
        <v>937</v>
      </c>
      <c r="C94" s="8" t="s">
        <v>696</v>
      </c>
      <c r="E94" s="8" t="s">
        <v>938</v>
      </c>
    </row>
    <row r="95" spans="1:21">
      <c r="A95" s="8" t="s">
        <v>728</v>
      </c>
      <c r="B95" s="8" t="s">
        <v>939</v>
      </c>
      <c r="C95" s="8" t="s">
        <v>696</v>
      </c>
      <c r="E95" s="8" t="s">
        <v>940</v>
      </c>
    </row>
    <row r="96" spans="1:21">
      <c r="A96" s="8" t="s">
        <v>728</v>
      </c>
      <c r="B96" s="8" t="s">
        <v>941</v>
      </c>
      <c r="C96" s="8" t="s">
        <v>696</v>
      </c>
      <c r="E96" s="8" t="s">
        <v>942</v>
      </c>
    </row>
    <row r="97" spans="1:5">
      <c r="A97" s="8" t="s">
        <v>728</v>
      </c>
      <c r="B97" s="8" t="s">
        <v>943</v>
      </c>
      <c r="C97" s="8" t="s">
        <v>696</v>
      </c>
      <c r="E97" s="8" t="s">
        <v>944</v>
      </c>
    </row>
    <row r="98" spans="1:5">
      <c r="A98" s="8" t="s">
        <v>728</v>
      </c>
      <c r="B98" s="8" t="s">
        <v>945</v>
      </c>
      <c r="C98" s="8" t="s">
        <v>696</v>
      </c>
      <c r="E98" s="8" t="s">
        <v>946</v>
      </c>
    </row>
    <row r="99" spans="1:5">
      <c r="A99" s="8" t="s">
        <v>728</v>
      </c>
      <c r="B99" s="8" t="s">
        <v>947</v>
      </c>
      <c r="C99" s="8" t="s">
        <v>696</v>
      </c>
      <c r="E99" s="8" t="s">
        <v>948</v>
      </c>
    </row>
    <row r="100" spans="1:5">
      <c r="A100" s="8" t="s">
        <v>728</v>
      </c>
      <c r="B100" s="8" t="s">
        <v>949</v>
      </c>
      <c r="C100" s="8" t="s">
        <v>696</v>
      </c>
      <c r="E100" s="8" t="s">
        <v>950</v>
      </c>
    </row>
    <row r="101" spans="1:5">
      <c r="A101" s="8" t="s">
        <v>728</v>
      </c>
      <c r="B101" s="8" t="s">
        <v>951</v>
      </c>
      <c r="C101" s="8" t="s">
        <v>696</v>
      </c>
      <c r="E101" s="8" t="s">
        <v>952</v>
      </c>
    </row>
    <row r="102" spans="1:5">
      <c r="A102" s="8" t="s">
        <v>728</v>
      </c>
      <c r="B102" s="8" t="s">
        <v>953</v>
      </c>
      <c r="C102" s="8" t="s">
        <v>696</v>
      </c>
      <c r="E102" s="8" t="s">
        <v>954</v>
      </c>
    </row>
    <row r="103" spans="1:5">
      <c r="A103" s="8" t="s">
        <v>728</v>
      </c>
      <c r="B103" s="8" t="s">
        <v>955</v>
      </c>
      <c r="C103" s="8" t="s">
        <v>696</v>
      </c>
      <c r="E103" s="8" t="s">
        <v>956</v>
      </c>
    </row>
    <row r="104" spans="1:5">
      <c r="A104" s="8" t="s">
        <v>728</v>
      </c>
      <c r="B104" s="8" t="s">
        <v>957</v>
      </c>
      <c r="C104" s="8" t="s">
        <v>790</v>
      </c>
      <c r="D104" s="8" t="s">
        <v>791</v>
      </c>
      <c r="E104" s="8" t="s">
        <v>958</v>
      </c>
    </row>
    <row r="105" spans="1:5">
      <c r="A105" s="8" t="s">
        <v>728</v>
      </c>
      <c r="B105" s="8" t="s">
        <v>941</v>
      </c>
      <c r="C105" s="8" t="s">
        <v>790</v>
      </c>
      <c r="D105" s="8" t="s">
        <v>878</v>
      </c>
      <c r="E105" s="8" t="s">
        <v>959</v>
      </c>
    </row>
    <row r="106" spans="1:5">
      <c r="A106" s="8" t="s">
        <v>728</v>
      </c>
      <c r="B106" s="8" t="s">
        <v>960</v>
      </c>
      <c r="C106" s="8" t="s">
        <v>790</v>
      </c>
      <c r="D106" s="8" t="s">
        <v>791</v>
      </c>
      <c r="E106" s="8" t="s">
        <v>961</v>
      </c>
    </row>
    <row r="107" spans="1:5">
      <c r="A107" s="8" t="s">
        <v>728</v>
      </c>
      <c r="B107" s="8" t="s">
        <v>945</v>
      </c>
      <c r="C107" s="8" t="s">
        <v>790</v>
      </c>
      <c r="D107" s="8" t="s">
        <v>878</v>
      </c>
      <c r="E107" s="8" t="s">
        <v>962</v>
      </c>
    </row>
    <row r="108" spans="1:5">
      <c r="A108" s="8" t="s">
        <v>728</v>
      </c>
      <c r="B108" s="8" t="s">
        <v>963</v>
      </c>
      <c r="C108" s="8" t="s">
        <v>790</v>
      </c>
      <c r="D108" s="8" t="s">
        <v>791</v>
      </c>
      <c r="E108" s="8" t="s">
        <v>964</v>
      </c>
    </row>
    <row r="109" spans="1:5">
      <c r="A109" s="8" t="s">
        <v>728</v>
      </c>
      <c r="B109" s="8" t="s">
        <v>965</v>
      </c>
      <c r="C109" s="8" t="s">
        <v>790</v>
      </c>
      <c r="D109" s="8" t="s">
        <v>812</v>
      </c>
      <c r="E109" s="8" t="s">
        <v>966</v>
      </c>
    </row>
    <row r="110" spans="1:5">
      <c r="A110" s="8" t="s">
        <v>728</v>
      </c>
      <c r="B110" s="8" t="s">
        <v>967</v>
      </c>
      <c r="C110" s="8" t="s">
        <v>790</v>
      </c>
      <c r="D110" s="8" t="s">
        <v>791</v>
      </c>
      <c r="E110" s="8" t="s">
        <v>968</v>
      </c>
    </row>
    <row r="111" spans="1:5">
      <c r="A111" s="8" t="s">
        <v>728</v>
      </c>
      <c r="B111" s="8" t="s">
        <v>969</v>
      </c>
      <c r="C111" s="8" t="s">
        <v>790</v>
      </c>
      <c r="D111" s="8" t="s">
        <v>970</v>
      </c>
      <c r="E111" s="8" t="s">
        <v>971</v>
      </c>
    </row>
    <row r="112" spans="1:5">
      <c r="A112" s="8" t="s">
        <v>728</v>
      </c>
      <c r="B112" s="8" t="s">
        <v>972</v>
      </c>
      <c r="C112" s="8" t="s">
        <v>790</v>
      </c>
      <c r="D112" s="8" t="s">
        <v>791</v>
      </c>
      <c r="E112" s="8" t="s">
        <v>973</v>
      </c>
    </row>
    <row r="113" spans="1:5">
      <c r="A113" s="8" t="s">
        <v>728</v>
      </c>
      <c r="B113" s="8" t="s">
        <v>974</v>
      </c>
      <c r="C113" s="8" t="s">
        <v>790</v>
      </c>
      <c r="D113" s="8" t="s">
        <v>803</v>
      </c>
      <c r="E113" s="8" t="s">
        <v>975</v>
      </c>
    </row>
    <row r="114" spans="1:5">
      <c r="A114" s="8" t="s">
        <v>728</v>
      </c>
      <c r="B114" s="8" t="s">
        <v>976</v>
      </c>
      <c r="C114" s="8" t="s">
        <v>820</v>
      </c>
      <c r="D114" s="8" t="s">
        <v>791</v>
      </c>
      <c r="E114" s="8" t="s">
        <v>977</v>
      </c>
    </row>
    <row r="115" spans="1:5">
      <c r="A115" s="8" t="s">
        <v>728</v>
      </c>
      <c r="B115" s="8" t="s">
        <v>978</v>
      </c>
      <c r="C115" s="8" t="s">
        <v>820</v>
      </c>
      <c r="D115" s="8" t="s">
        <v>970</v>
      </c>
      <c r="E115" s="8" t="s">
        <v>979</v>
      </c>
    </row>
    <row r="116" spans="1:5">
      <c r="A116" s="8" t="s">
        <v>728</v>
      </c>
      <c r="B116" s="8" t="s">
        <v>980</v>
      </c>
      <c r="C116" s="8" t="s">
        <v>820</v>
      </c>
      <c r="D116" s="8" t="s">
        <v>842</v>
      </c>
      <c r="E116" s="8" t="s">
        <v>981</v>
      </c>
    </row>
    <row r="117" spans="1:5">
      <c r="A117" s="8" t="s">
        <v>728</v>
      </c>
      <c r="B117" s="8" t="s">
        <v>982</v>
      </c>
      <c r="C117" s="8" t="s">
        <v>820</v>
      </c>
      <c r="D117" s="8" t="s">
        <v>878</v>
      </c>
      <c r="E117" s="8" t="s">
        <v>983</v>
      </c>
    </row>
    <row r="118" spans="1:5">
      <c r="A118" s="8" t="s">
        <v>728</v>
      </c>
      <c r="B118" s="8" t="s">
        <v>984</v>
      </c>
      <c r="C118" s="8" t="s">
        <v>820</v>
      </c>
      <c r="D118" s="8" t="s">
        <v>791</v>
      </c>
      <c r="E118" s="8" t="s">
        <v>985</v>
      </c>
    </row>
    <row r="119" spans="1:5">
      <c r="A119" s="8" t="s">
        <v>728</v>
      </c>
      <c r="B119" s="8" t="s">
        <v>986</v>
      </c>
      <c r="C119" s="8" t="s">
        <v>820</v>
      </c>
      <c r="D119" s="8" t="s">
        <v>791</v>
      </c>
      <c r="E119" s="8" t="s">
        <v>987</v>
      </c>
    </row>
    <row r="120" spans="1:5">
      <c r="A120" s="8" t="s">
        <v>728</v>
      </c>
      <c r="B120" s="8" t="s">
        <v>988</v>
      </c>
      <c r="C120" s="8" t="s">
        <v>820</v>
      </c>
      <c r="D120" s="8" t="s">
        <v>878</v>
      </c>
      <c r="E120" s="8" t="s">
        <v>989</v>
      </c>
    </row>
    <row r="121" spans="1:5">
      <c r="A121" s="8" t="s">
        <v>728</v>
      </c>
      <c r="B121" s="8" t="s">
        <v>990</v>
      </c>
      <c r="C121" s="8" t="s">
        <v>820</v>
      </c>
      <c r="D121" s="8" t="s">
        <v>803</v>
      </c>
      <c r="E121" s="8" t="s">
        <v>991</v>
      </c>
    </row>
    <row r="122" spans="1:5">
      <c r="A122" s="8" t="s">
        <v>728</v>
      </c>
      <c r="B122" s="8" t="s">
        <v>992</v>
      </c>
      <c r="C122" s="8" t="s">
        <v>820</v>
      </c>
      <c r="D122" s="8" t="s">
        <v>993</v>
      </c>
      <c r="E122" s="8" t="s">
        <v>994</v>
      </c>
    </row>
    <row r="123" spans="1:5">
      <c r="A123" s="8" t="s">
        <v>728</v>
      </c>
      <c r="B123" s="8" t="s">
        <v>995</v>
      </c>
      <c r="C123" s="8" t="s">
        <v>820</v>
      </c>
      <c r="D123" s="8" t="s">
        <v>791</v>
      </c>
      <c r="E123" s="8" t="s">
        <v>996</v>
      </c>
    </row>
    <row r="124" spans="1:5">
      <c r="E124" s="8"/>
    </row>
    <row r="125" spans="1:5">
      <c r="E125" s="8"/>
    </row>
    <row r="126" spans="1:5">
      <c r="E126" s="8"/>
    </row>
    <row r="127" spans="1:5">
      <c r="E127" s="8"/>
    </row>
    <row r="128" spans="1:5">
      <c r="E128" s="8" t="s">
        <v>997</v>
      </c>
    </row>
    <row r="129" spans="2:5">
      <c r="E129" s="8" t="s">
        <v>998</v>
      </c>
    </row>
    <row r="130" spans="2:5">
      <c r="E130" s="8" t="s">
        <v>999</v>
      </c>
    </row>
    <row r="131" spans="2:5">
      <c r="E131" s="8"/>
    </row>
    <row r="132" spans="2:5">
      <c r="B132" s="8" t="s">
        <v>1000</v>
      </c>
      <c r="D132" s="8" t="s">
        <v>754</v>
      </c>
      <c r="E132" s="8" t="s">
        <v>1001</v>
      </c>
    </row>
    <row r="133" spans="2:5">
      <c r="D133" s="8" t="s">
        <v>1002</v>
      </c>
      <c r="E133" s="8" t="s">
        <v>1003</v>
      </c>
    </row>
    <row r="134" spans="2:5">
      <c r="D134" s="8" t="s">
        <v>1004</v>
      </c>
      <c r="E134" s="8" t="s">
        <v>1005</v>
      </c>
    </row>
    <row r="135" spans="2:5">
      <c r="B135" s="8" t="s">
        <v>1006</v>
      </c>
      <c r="D135" s="8" t="s">
        <v>1007</v>
      </c>
      <c r="E135" s="8" t="s">
        <v>1008</v>
      </c>
    </row>
    <row r="136" spans="2:5">
      <c r="B136" s="8" t="s">
        <v>1009</v>
      </c>
      <c r="E136" s="8" t="s">
        <v>1010</v>
      </c>
    </row>
    <row r="137" spans="2:5">
      <c r="D137" s="8" t="s">
        <v>1011</v>
      </c>
      <c r="E137" s="8" t="s">
        <v>1012</v>
      </c>
    </row>
    <row r="138" spans="2:5">
      <c r="D138" s="8" t="s">
        <v>1013</v>
      </c>
      <c r="E138" s="8" t="s">
        <v>1014</v>
      </c>
    </row>
    <row r="139" spans="2:5">
      <c r="B139" s="8" t="s">
        <v>1015</v>
      </c>
      <c r="D139" s="8" t="s">
        <v>1016</v>
      </c>
      <c r="E139" s="8" t="s">
        <v>1017</v>
      </c>
    </row>
    <row r="140" spans="2:5">
      <c r="B140" s="8" t="s">
        <v>1018</v>
      </c>
      <c r="D140" s="8" t="s">
        <v>1019</v>
      </c>
      <c r="E140" s="8" t="s">
        <v>1020</v>
      </c>
    </row>
    <row r="141" spans="2:5">
      <c r="E141" s="8"/>
    </row>
    <row r="142" spans="2:5">
      <c r="B142" s="8" t="s">
        <v>1021</v>
      </c>
      <c r="E142" s="8" t="s">
        <v>1022</v>
      </c>
    </row>
    <row r="143" spans="2:5">
      <c r="E143" s="8" t="s">
        <v>1023</v>
      </c>
    </row>
    <row r="144" spans="2:5">
      <c r="E144" s="8"/>
    </row>
    <row r="145" spans="2:5">
      <c r="E145" s="8"/>
    </row>
    <row r="146" spans="2:5">
      <c r="E146" s="8"/>
    </row>
    <row r="147" spans="2:5">
      <c r="B147" s="8" t="s">
        <v>1024</v>
      </c>
      <c r="E147" s="8" t="s">
        <v>1025</v>
      </c>
    </row>
    <row r="148" spans="2:5">
      <c r="B148" s="8" t="s">
        <v>1026</v>
      </c>
      <c r="E148" s="8" t="s">
        <v>1027</v>
      </c>
    </row>
    <row r="149" spans="2:5">
      <c r="E149" s="8" t="s">
        <v>1028</v>
      </c>
    </row>
    <row r="150" spans="2:5">
      <c r="C150" s="8" t="s">
        <v>790</v>
      </c>
      <c r="E150" s="8" t="s">
        <v>1029</v>
      </c>
    </row>
    <row r="151" spans="2:5">
      <c r="C151" s="8" t="s">
        <v>790</v>
      </c>
      <c r="E151" s="8" t="s">
        <v>1030</v>
      </c>
    </row>
    <row r="152" spans="2:5">
      <c r="C152" s="8" t="s">
        <v>790</v>
      </c>
      <c r="E152" s="8" t="s">
        <v>1031</v>
      </c>
    </row>
    <row r="153" spans="2:5">
      <c r="B153" s="8" t="s">
        <v>1032</v>
      </c>
      <c r="C153" s="8" t="s">
        <v>790</v>
      </c>
      <c r="E153" s="8" t="s">
        <v>1033</v>
      </c>
    </row>
    <row r="154" spans="2:5">
      <c r="C154" s="8" t="s">
        <v>790</v>
      </c>
      <c r="E154" s="8" t="s">
        <v>1034</v>
      </c>
    </row>
    <row r="155" spans="2:5">
      <c r="E155" s="8" t="s">
        <v>1035</v>
      </c>
    </row>
    <row r="156" spans="2:5">
      <c r="E156" s="8" t="s">
        <v>1036</v>
      </c>
    </row>
    <row r="157" spans="2:5">
      <c r="B157" s="8" t="s">
        <v>1037</v>
      </c>
      <c r="E157" s="8" t="s">
        <v>1038</v>
      </c>
    </row>
    <row r="158" spans="2:5">
      <c r="B158" s="8" t="s">
        <v>1039</v>
      </c>
      <c r="E158" s="8" t="s">
        <v>1040</v>
      </c>
    </row>
    <row r="159" spans="2:5">
      <c r="E159" s="8" t="s">
        <v>1041</v>
      </c>
    </row>
    <row r="160" spans="2:5">
      <c r="B160" s="8" t="s">
        <v>473</v>
      </c>
      <c r="E160" s="8" t="s">
        <v>1042</v>
      </c>
    </row>
    <row r="161" spans="2:5">
      <c r="B161" s="8" t="s">
        <v>1043</v>
      </c>
      <c r="E161" s="8" t="s">
        <v>1044</v>
      </c>
    </row>
    <row r="162" spans="2:5">
      <c r="B162" s="8" t="s">
        <v>1018</v>
      </c>
      <c r="E162" s="8" t="s">
        <v>1045</v>
      </c>
    </row>
    <row r="163" spans="2:5">
      <c r="B163" s="8" t="s">
        <v>1046</v>
      </c>
      <c r="E163" s="8" t="s">
        <v>1047</v>
      </c>
    </row>
    <row r="164" spans="2:5">
      <c r="B164" s="8" t="s">
        <v>1048</v>
      </c>
      <c r="E164" s="8" t="s">
        <v>1049</v>
      </c>
    </row>
    <row r="165" spans="2:5">
      <c r="E165" s="8"/>
    </row>
    <row r="166" spans="2:5">
      <c r="E166" s="8"/>
    </row>
    <row r="167" spans="2:5">
      <c r="E167" s="8"/>
    </row>
    <row r="168" spans="2:5">
      <c r="E168" s="8"/>
    </row>
    <row r="169" spans="2:5">
      <c r="E169" s="8"/>
    </row>
    <row r="170" spans="2:5">
      <c r="E170" s="8"/>
    </row>
    <row r="171" spans="2:5">
      <c r="E171" s="8"/>
    </row>
    <row r="172" spans="2:5">
      <c r="E172" s="8"/>
    </row>
    <row r="173" spans="2:5">
      <c r="E173" s="8"/>
    </row>
    <row r="174" spans="2:5">
      <c r="E174" s="8"/>
    </row>
    <row r="175" spans="2:5">
      <c r="E175" s="8"/>
    </row>
    <row r="176" spans="2:5">
      <c r="E176" s="8"/>
    </row>
    <row r="177" spans="1:5">
      <c r="E177" s="8"/>
    </row>
    <row r="178" spans="1:5">
      <c r="E178" s="8"/>
    </row>
    <row r="179" spans="1:5">
      <c r="A179" s="8" t="s">
        <v>695</v>
      </c>
      <c r="E179" s="8"/>
    </row>
    <row r="180" spans="1:5">
      <c r="A180" s="8" t="s">
        <v>695</v>
      </c>
      <c r="B180" s="8" t="s">
        <v>1043</v>
      </c>
      <c r="C180" s="8" t="s">
        <v>1050</v>
      </c>
      <c r="E180" s="8" t="s">
        <v>1051</v>
      </c>
    </row>
    <row r="181" spans="1:5">
      <c r="E181" s="8"/>
    </row>
    <row r="182" spans="1:5">
      <c r="B182" s="8" t="s">
        <v>1052</v>
      </c>
      <c r="E182" s="8" t="s">
        <v>1053</v>
      </c>
    </row>
    <row r="183" spans="1:5">
      <c r="B183" s="8" t="s">
        <v>1054</v>
      </c>
      <c r="E183" s="8" t="s">
        <v>1055</v>
      </c>
    </row>
    <row r="184" spans="1:5">
      <c r="B184" s="8" t="s">
        <v>1056</v>
      </c>
      <c r="E184" s="8" t="s">
        <v>1057</v>
      </c>
    </row>
    <row r="185" spans="1:5">
      <c r="B185" s="8" t="s">
        <v>1058</v>
      </c>
      <c r="E185" s="8" t="s">
        <v>1059</v>
      </c>
    </row>
    <row r="186" spans="1:5">
      <c r="E186" s="8"/>
    </row>
    <row r="187" spans="1:5">
      <c r="E187" s="8"/>
    </row>
    <row r="188" spans="1:5">
      <c r="E188" s="8"/>
    </row>
    <row r="189" spans="1:5">
      <c r="E189" s="8"/>
    </row>
    <row r="190" spans="1:5">
      <c r="E190" s="8"/>
    </row>
    <row r="191" spans="1:5">
      <c r="E191" s="8"/>
    </row>
    <row r="192" spans="1:5">
      <c r="E192" s="8"/>
    </row>
    <row r="193" spans="5:5">
      <c r="E193" s="8"/>
    </row>
    <row r="194" spans="5:5">
      <c r="E194" s="8"/>
    </row>
    <row r="195" spans="5:5">
      <c r="E195" s="8"/>
    </row>
    <row r="196" spans="5:5">
      <c r="E196" s="8"/>
    </row>
    <row r="197" spans="5:5">
      <c r="E197" s="8"/>
    </row>
    <row r="198" spans="5:5">
      <c r="E198" s="8"/>
    </row>
    <row r="199" spans="5:5">
      <c r="E199" s="8"/>
    </row>
    <row r="200" spans="5:5">
      <c r="E200" s="8"/>
    </row>
    <row r="201" spans="5:5">
      <c r="E201" s="8"/>
    </row>
    <row r="202" spans="5:5">
      <c r="E202" s="8"/>
    </row>
    <row r="203" spans="5:5">
      <c r="E203" s="8"/>
    </row>
    <row r="204" spans="5:5">
      <c r="E204" s="8"/>
    </row>
    <row r="205" spans="5:5">
      <c r="E205" s="8"/>
    </row>
    <row r="206" spans="5:5">
      <c r="E206" s="8"/>
    </row>
    <row r="207" spans="5:5">
      <c r="E207" s="8"/>
    </row>
    <row r="208" spans="5:5">
      <c r="E208" s="8"/>
    </row>
    <row r="209" spans="5:5">
      <c r="E209" s="8"/>
    </row>
    <row r="210" spans="5:5">
      <c r="E210" s="8"/>
    </row>
    <row r="211" spans="5:5">
      <c r="E211" s="8"/>
    </row>
    <row r="212" spans="5:5">
      <c r="E212" s="8"/>
    </row>
    <row r="213" spans="5:5">
      <c r="E213" s="8"/>
    </row>
    <row r="214" spans="5:5">
      <c r="E214" s="8"/>
    </row>
    <row r="215" spans="5:5">
      <c r="E215" s="8"/>
    </row>
  </sheetData>
  <mergeCells count="45">
    <mergeCell ref="Q28:V28"/>
    <mergeCell ref="W28:Y28"/>
    <mergeCell ref="Z28:AB28"/>
    <mergeCell ref="AC28:AE28"/>
    <mergeCell ref="AF28:AH28"/>
    <mergeCell ref="W29:W31"/>
    <mergeCell ref="W37:W39"/>
    <mergeCell ref="W49:W51"/>
    <mergeCell ref="W57:W59"/>
    <mergeCell ref="X29:X31"/>
    <mergeCell ref="X37:X39"/>
    <mergeCell ref="X49:X51"/>
    <mergeCell ref="X57:X59"/>
    <mergeCell ref="Y29:Y31"/>
    <mergeCell ref="Y49:Y51"/>
    <mergeCell ref="Z29:Z31"/>
    <mergeCell ref="Z37:Z39"/>
    <mergeCell ref="Z49:Z51"/>
    <mergeCell ref="Z57:Z59"/>
    <mergeCell ref="AA29:AA31"/>
    <mergeCell ref="AA37:AA39"/>
    <mergeCell ref="AA49:AA51"/>
    <mergeCell ref="AA57:AA59"/>
    <mergeCell ref="AB29:AB31"/>
    <mergeCell ref="AB49:AB51"/>
    <mergeCell ref="AC29:AC31"/>
    <mergeCell ref="AC37:AC39"/>
    <mergeCell ref="AC49:AC51"/>
    <mergeCell ref="AC57:AC59"/>
    <mergeCell ref="AD29:AD31"/>
    <mergeCell ref="AD37:AD39"/>
    <mergeCell ref="AD49:AD51"/>
    <mergeCell ref="AD57:AD59"/>
    <mergeCell ref="AE29:AE31"/>
    <mergeCell ref="AE49:AE51"/>
    <mergeCell ref="AF29:AF31"/>
    <mergeCell ref="AF37:AF39"/>
    <mergeCell ref="AF49:AF51"/>
    <mergeCell ref="AF57:AF59"/>
    <mergeCell ref="AG29:AG31"/>
    <mergeCell ref="AG37:AG39"/>
    <mergeCell ref="AG49:AG51"/>
    <mergeCell ref="AG57:AG59"/>
    <mergeCell ref="AH29:AH31"/>
    <mergeCell ref="AH49:AH5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topLeftCell="A7" workbookViewId="0">
      <selection activeCell="C3" sqref="C3:E13"/>
    </sheetView>
  </sheetViews>
  <sheetFormatPr defaultColWidth="9" defaultRowHeight="13.5"/>
  <cols>
    <col min="1" max="1" width="30.6666666666667" customWidth="1"/>
    <col min="2" max="3" width="11.775" customWidth="1"/>
    <col min="4" max="4" width="17.6666666666667" customWidth="1"/>
    <col min="5" max="5" width="23" customWidth="1"/>
    <col min="17" max="17" width="15" customWidth="1"/>
    <col min="18" max="22" width="12.6666666666667" customWidth="1"/>
  </cols>
  <sheetData>
    <row r="1" spans="1:18">
      <c r="A1" t="s">
        <v>1060</v>
      </c>
      <c r="B1" t="s">
        <v>10</v>
      </c>
      <c r="E1" t="s">
        <v>1061</v>
      </c>
      <c r="G1" t="s">
        <v>11</v>
      </c>
      <c r="L1" t="s">
        <v>1062</v>
      </c>
      <c r="M1" t="s">
        <v>308</v>
      </c>
      <c r="Q1" t="s">
        <v>160</v>
      </c>
      <c r="R1" t="s">
        <v>1063</v>
      </c>
    </row>
    <row r="2" ht="14.25" spans="1:18">
      <c r="A2" t="s">
        <v>386</v>
      </c>
      <c r="B2" t="s">
        <v>1064</v>
      </c>
      <c r="E2" t="s">
        <v>386</v>
      </c>
      <c r="F2" t="s">
        <v>1064</v>
      </c>
      <c r="L2" s="6" t="s">
        <v>1065</v>
      </c>
      <c r="M2" s="7">
        <v>0.2</v>
      </c>
      <c r="Q2" t="s">
        <v>1066</v>
      </c>
      <c r="R2" t="s">
        <v>1067</v>
      </c>
    </row>
    <row r="3" spans="1:18">
      <c r="A3" t="s">
        <v>1068</v>
      </c>
      <c r="B3" t="s">
        <v>294</v>
      </c>
      <c r="D3" t="s">
        <v>128</v>
      </c>
      <c r="E3" t="s">
        <v>1068</v>
      </c>
      <c r="F3" t="s">
        <v>294</v>
      </c>
      <c r="H3" t="s">
        <v>128</v>
      </c>
      <c r="L3" t="s">
        <v>1069</v>
      </c>
      <c r="M3" s="7">
        <v>0.35</v>
      </c>
      <c r="Q3" t="s">
        <v>1070</v>
      </c>
      <c r="R3" t="s">
        <v>1071</v>
      </c>
    </row>
    <row r="4" spans="1:18">
      <c r="A4" t="s">
        <v>10</v>
      </c>
      <c r="B4" t="s">
        <v>1072</v>
      </c>
      <c r="C4" t="s">
        <v>395</v>
      </c>
      <c r="D4" t="s">
        <v>453</v>
      </c>
      <c r="E4" t="s">
        <v>11</v>
      </c>
      <c r="F4" t="s">
        <v>1072</v>
      </c>
      <c r="G4" t="s">
        <v>395</v>
      </c>
      <c r="H4" t="s">
        <v>453</v>
      </c>
      <c r="L4" t="s">
        <v>1073</v>
      </c>
      <c r="M4" s="7">
        <v>0.5</v>
      </c>
      <c r="Q4" t="s">
        <v>1074</v>
      </c>
      <c r="R4" t="s">
        <v>1075</v>
      </c>
    </row>
    <row r="5" spans="1:18">
      <c r="A5" t="s">
        <v>12</v>
      </c>
      <c r="B5" t="s">
        <v>1072</v>
      </c>
      <c r="C5" t="s">
        <v>395</v>
      </c>
      <c r="D5" t="s">
        <v>453</v>
      </c>
      <c r="E5" t="s">
        <v>13</v>
      </c>
      <c r="F5" t="s">
        <v>1072</v>
      </c>
      <c r="G5" t="s">
        <v>395</v>
      </c>
      <c r="H5" t="s">
        <v>453</v>
      </c>
      <c r="L5" t="s">
        <v>1076</v>
      </c>
      <c r="M5" s="7">
        <v>0.75</v>
      </c>
      <c r="Q5" t="s">
        <v>1077</v>
      </c>
      <c r="R5" t="s">
        <v>1078</v>
      </c>
    </row>
    <row r="6" spans="1:18">
      <c r="A6" t="s">
        <v>14</v>
      </c>
      <c r="B6" t="s">
        <v>1072</v>
      </c>
      <c r="C6" t="s">
        <v>395</v>
      </c>
      <c r="D6" t="s">
        <v>453</v>
      </c>
      <c r="E6" t="s">
        <v>9</v>
      </c>
      <c r="F6" t="s">
        <v>1072</v>
      </c>
      <c r="G6" t="s">
        <v>395</v>
      </c>
      <c r="H6" t="s">
        <v>453</v>
      </c>
      <c r="L6" t="s">
        <v>1079</v>
      </c>
      <c r="M6" s="7">
        <v>1</v>
      </c>
      <c r="Q6" t="s">
        <v>1080</v>
      </c>
      <c r="R6" t="s">
        <v>1081</v>
      </c>
    </row>
    <row r="7" spans="1:18">
      <c r="A7" t="s">
        <v>1082</v>
      </c>
      <c r="B7" t="s">
        <v>1072</v>
      </c>
      <c r="C7" t="s">
        <v>395</v>
      </c>
      <c r="D7" t="s">
        <v>1083</v>
      </c>
      <c r="E7" t="s">
        <v>1082</v>
      </c>
      <c r="F7" t="s">
        <v>1072</v>
      </c>
      <c r="G7" t="s">
        <v>395</v>
      </c>
      <c r="H7" t="s">
        <v>1083</v>
      </c>
    </row>
    <row r="8" spans="1:18">
      <c r="A8" t="s">
        <v>87</v>
      </c>
      <c r="B8" t="s">
        <v>1072</v>
      </c>
      <c r="C8" t="s">
        <v>395</v>
      </c>
      <c r="D8" t="s">
        <v>1084</v>
      </c>
      <c r="E8" t="s">
        <v>89</v>
      </c>
      <c r="F8" t="s">
        <v>1072</v>
      </c>
      <c r="G8" t="s">
        <v>395</v>
      </c>
      <c r="H8" t="s">
        <v>1084</v>
      </c>
    </row>
    <row r="9" spans="1:18">
      <c r="A9" t="s">
        <v>0</v>
      </c>
      <c r="B9" t="s">
        <v>330</v>
      </c>
      <c r="E9" t="s">
        <v>36</v>
      </c>
      <c r="F9" t="s">
        <v>330</v>
      </c>
    </row>
    <row r="10" spans="1:18">
      <c r="A10" t="s">
        <v>72</v>
      </c>
      <c r="B10" t="s">
        <v>330</v>
      </c>
      <c r="D10" t="s">
        <v>1085</v>
      </c>
      <c r="E10" t="s">
        <v>83</v>
      </c>
      <c r="F10" t="s">
        <v>330</v>
      </c>
      <c r="H10" t="s">
        <v>1085</v>
      </c>
    </row>
    <row r="11" spans="1:18">
      <c r="A11" t="s">
        <v>15</v>
      </c>
      <c r="B11" t="s">
        <v>330</v>
      </c>
      <c r="D11" t="s">
        <v>1083</v>
      </c>
      <c r="E11" t="s">
        <v>41</v>
      </c>
      <c r="F11" t="s">
        <v>330</v>
      </c>
      <c r="H11" t="s">
        <v>1083</v>
      </c>
    </row>
    <row r="12" spans="1:18">
      <c r="A12" t="s">
        <v>87</v>
      </c>
      <c r="B12" t="s">
        <v>330</v>
      </c>
      <c r="D12" t="s">
        <v>1084</v>
      </c>
      <c r="E12" t="s">
        <v>89</v>
      </c>
      <c r="H12" t="s">
        <v>1084</v>
      </c>
    </row>
    <row r="16" spans="1:18">
      <c r="A16" t="s">
        <v>1086</v>
      </c>
    </row>
    <row r="17" spans="1:6">
      <c r="A17" t="s">
        <v>1087</v>
      </c>
    </row>
    <row r="18" spans="1:6">
      <c r="A18" t="s">
        <v>1088</v>
      </c>
    </row>
    <row r="20" spans="1:6">
      <c r="A20" t="s">
        <v>386</v>
      </c>
    </row>
    <row r="21" spans="1:6">
      <c r="A21" t="s">
        <v>1089</v>
      </c>
      <c r="B21" t="s">
        <v>1090</v>
      </c>
    </row>
    <row r="22" spans="1:6">
      <c r="A22" t="s">
        <v>1091</v>
      </c>
      <c r="B22">
        <v>125</v>
      </c>
    </row>
    <row r="29" spans="1:6">
      <c r="D29" s="8"/>
      <c r="E29" s="8"/>
      <c r="F29" s="8"/>
    </row>
  </sheetData>
  <mergeCells count="1">
    <mergeCell ref="D29:F2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topLeftCell="A15" workbookViewId="0">
      <selection activeCell="K28" sqref="K28:K32"/>
    </sheetView>
  </sheetViews>
  <sheetFormatPr defaultColWidth="9" defaultRowHeight="14.25"/>
  <cols>
    <col min="1" max="3" width="9" style="1"/>
    <col min="4" max="4" width="76.5583333333333" style="1" customWidth="1"/>
    <col min="5" max="5" width="9" style="1"/>
    <col min="6" max="6" width="10.775" style="1" customWidth="1"/>
    <col min="7" max="10" width="9" style="1"/>
    <col min="11" max="11" width="71.6666666666667" style="1" customWidth="1"/>
    <col min="12" max="25" width="9" style="1"/>
    <col min="26" max="26" width="8.44166666666667" style="1" customWidth="1"/>
    <col min="27" max="16384" width="9" style="1"/>
  </cols>
  <sheetData>
    <row r="1" ht="18" customHeight="1" spans="1:11">
      <c r="A1" s="1" t="s">
        <v>294</v>
      </c>
      <c r="B1" s="1" t="s">
        <v>162</v>
      </c>
      <c r="C1" s="1" t="s">
        <v>466</v>
      </c>
      <c r="E1" s="2" t="s">
        <v>1092</v>
      </c>
      <c r="F1" s="2" t="s">
        <v>1093</v>
      </c>
      <c r="G1" s="2" t="s">
        <v>1094</v>
      </c>
      <c r="H1" s="2" t="s">
        <v>11</v>
      </c>
      <c r="I1" s="2" t="s">
        <v>13</v>
      </c>
      <c r="J1" s="2" t="s">
        <v>9</v>
      </c>
      <c r="K1" s="2" t="s">
        <v>1082</v>
      </c>
    </row>
    <row r="2" ht="18" customHeight="1" spans="1:11">
      <c r="A2" s="3" t="s">
        <v>10</v>
      </c>
      <c r="B2" s="3" t="s">
        <v>1095</v>
      </c>
      <c r="C2" s="1" t="s">
        <v>1096</v>
      </c>
      <c r="D2" s="1" t="s">
        <v>1097</v>
      </c>
      <c r="E2" s="1" t="s">
        <v>1098</v>
      </c>
      <c r="F2" s="1">
        <v>1</v>
      </c>
      <c r="G2" s="1" t="s">
        <v>739</v>
      </c>
      <c r="H2" s="1">
        <v>2</v>
      </c>
      <c r="I2" s="1">
        <v>3</v>
      </c>
      <c r="J2" s="1">
        <v>2</v>
      </c>
    </row>
    <row r="3" ht="18" customHeight="1" spans="1:11">
      <c r="A3" s="3"/>
      <c r="B3" s="3"/>
      <c r="C3" s="1" t="s">
        <v>1099</v>
      </c>
      <c r="D3" s="1" t="s">
        <v>1100</v>
      </c>
      <c r="E3" s="1" t="s">
        <v>1101</v>
      </c>
      <c r="F3" s="1">
        <v>2</v>
      </c>
      <c r="G3" s="1" t="s">
        <v>739</v>
      </c>
      <c r="H3" s="1">
        <v>2</v>
      </c>
      <c r="I3" s="1">
        <v>3</v>
      </c>
      <c r="J3" s="1">
        <v>2</v>
      </c>
    </row>
    <row r="4" ht="18" customHeight="1" spans="1:11">
      <c r="A4" s="3"/>
      <c r="B4" s="3"/>
      <c r="C4" s="1" t="s">
        <v>1102</v>
      </c>
      <c r="D4" s="1" t="s">
        <v>1103</v>
      </c>
      <c r="E4" s="1" t="s">
        <v>1104</v>
      </c>
      <c r="F4" s="1">
        <v>3</v>
      </c>
      <c r="G4" s="1" t="s">
        <v>739</v>
      </c>
      <c r="H4" s="1">
        <v>2</v>
      </c>
      <c r="I4" s="1">
        <v>2</v>
      </c>
      <c r="J4" s="1">
        <v>3</v>
      </c>
    </row>
    <row r="5" ht="18" customHeight="1" spans="1:11">
      <c r="A5" s="3"/>
      <c r="B5" s="3"/>
      <c r="C5" s="1" t="s">
        <v>1105</v>
      </c>
      <c r="D5" s="1" t="s">
        <v>1106</v>
      </c>
      <c r="E5" s="1" t="s">
        <v>1107</v>
      </c>
      <c r="F5" s="1">
        <v>4</v>
      </c>
      <c r="G5" s="1" t="s">
        <v>739</v>
      </c>
      <c r="H5" s="1">
        <v>2</v>
      </c>
      <c r="I5" s="1">
        <v>3</v>
      </c>
      <c r="J5" s="1">
        <v>2</v>
      </c>
    </row>
    <row r="6" ht="18" customHeight="1" spans="1:11">
      <c r="A6" s="3"/>
      <c r="B6" s="3"/>
      <c r="C6" s="1" t="s">
        <v>1108</v>
      </c>
      <c r="D6" s="1" t="s">
        <v>1109</v>
      </c>
      <c r="E6" s="1" t="s">
        <v>1110</v>
      </c>
      <c r="F6" s="1">
        <v>5</v>
      </c>
      <c r="G6" s="1" t="s">
        <v>739</v>
      </c>
      <c r="H6" s="1">
        <v>2</v>
      </c>
      <c r="I6" s="1">
        <v>3</v>
      </c>
      <c r="J6" s="1">
        <v>2</v>
      </c>
    </row>
    <row r="7" ht="18" customHeight="1" spans="1:11">
      <c r="A7" s="3"/>
      <c r="B7" s="3"/>
      <c r="C7" s="1" t="s">
        <v>1111</v>
      </c>
      <c r="D7" s="1" t="s">
        <v>1112</v>
      </c>
      <c r="E7" s="1" t="s">
        <v>1113</v>
      </c>
      <c r="F7" s="1">
        <v>1</v>
      </c>
      <c r="G7" s="1" t="s">
        <v>741</v>
      </c>
      <c r="H7" s="1">
        <v>2</v>
      </c>
      <c r="I7" s="1">
        <v>1</v>
      </c>
      <c r="J7" s="1">
        <v>4</v>
      </c>
      <c r="K7" s="1" t="s">
        <v>1114</v>
      </c>
    </row>
    <row r="8" ht="18" customHeight="1" spans="1:11">
      <c r="A8" s="3"/>
      <c r="B8" s="3"/>
      <c r="C8" s="1" t="s">
        <v>1115</v>
      </c>
      <c r="D8" s="1" t="s">
        <v>1116</v>
      </c>
      <c r="E8" s="1" t="s">
        <v>1117</v>
      </c>
      <c r="F8" s="1">
        <v>2</v>
      </c>
      <c r="G8" s="1" t="s">
        <v>741</v>
      </c>
      <c r="H8" s="1">
        <v>2</v>
      </c>
      <c r="I8" s="1">
        <v>1</v>
      </c>
      <c r="J8" s="1">
        <v>4</v>
      </c>
      <c r="K8" s="1" t="s">
        <v>1118</v>
      </c>
    </row>
    <row r="9" ht="18" customHeight="1" spans="1:11">
      <c r="A9" s="3"/>
      <c r="B9" s="3"/>
      <c r="C9" s="1" t="s">
        <v>1119</v>
      </c>
      <c r="D9" s="1" t="s">
        <v>1120</v>
      </c>
      <c r="E9" s="1" t="s">
        <v>1121</v>
      </c>
      <c r="F9" s="1">
        <v>3</v>
      </c>
      <c r="G9" s="1" t="s">
        <v>741</v>
      </c>
      <c r="H9" s="1">
        <v>2</v>
      </c>
      <c r="I9" s="1">
        <v>1</v>
      </c>
      <c r="J9" s="1">
        <v>4</v>
      </c>
      <c r="K9" s="1" t="s">
        <v>1122</v>
      </c>
    </row>
    <row r="10" ht="18" customHeight="1" spans="1:11">
      <c r="A10" s="3"/>
      <c r="B10" s="3"/>
      <c r="C10" s="1" t="s">
        <v>1123</v>
      </c>
      <c r="D10" s="1" t="s">
        <v>1124</v>
      </c>
      <c r="E10" s="1" t="s">
        <v>1125</v>
      </c>
      <c r="F10" s="1">
        <v>4</v>
      </c>
      <c r="G10" s="1" t="s">
        <v>741</v>
      </c>
      <c r="H10" s="1">
        <v>3</v>
      </c>
      <c r="I10" s="1">
        <v>1</v>
      </c>
      <c r="J10" s="1">
        <v>3</v>
      </c>
      <c r="K10" s="1" t="s">
        <v>1126</v>
      </c>
    </row>
    <row r="11" ht="18" customHeight="1" spans="1:11">
      <c r="A11" s="3"/>
      <c r="B11" s="3"/>
      <c r="C11" s="1" t="s">
        <v>1127</v>
      </c>
      <c r="D11" s="1" t="s">
        <v>1128</v>
      </c>
      <c r="E11" s="1" t="s">
        <v>1129</v>
      </c>
      <c r="F11" s="1">
        <v>5</v>
      </c>
      <c r="G11" s="1" t="s">
        <v>741</v>
      </c>
      <c r="H11" s="1">
        <v>2</v>
      </c>
      <c r="I11" s="1">
        <v>2</v>
      </c>
      <c r="J11" s="1">
        <v>3</v>
      </c>
      <c r="K11" s="1" t="s">
        <v>1130</v>
      </c>
    </row>
    <row r="12" ht="18" customHeight="1" spans="1:11">
      <c r="A12" s="3" t="s">
        <v>11</v>
      </c>
      <c r="B12" s="3" t="s">
        <v>1095</v>
      </c>
      <c r="C12" s="1" t="s">
        <v>1131</v>
      </c>
      <c r="D12" s="1" t="s">
        <v>1132</v>
      </c>
      <c r="E12" s="1" t="s">
        <v>1133</v>
      </c>
      <c r="F12" s="1">
        <v>1</v>
      </c>
      <c r="G12" s="1" t="s">
        <v>743</v>
      </c>
      <c r="H12" s="1">
        <v>5</v>
      </c>
      <c r="I12" s="1">
        <v>1</v>
      </c>
      <c r="J12" s="1">
        <v>1</v>
      </c>
      <c r="K12" s="1" t="s">
        <v>1134</v>
      </c>
    </row>
    <row r="13" ht="18" customHeight="1" spans="1:11">
      <c r="A13" s="3"/>
      <c r="B13" s="3"/>
      <c r="C13" s="1" t="s">
        <v>1135</v>
      </c>
      <c r="D13" s="1" t="s">
        <v>1136</v>
      </c>
      <c r="E13" s="1" t="s">
        <v>1137</v>
      </c>
      <c r="F13" s="1">
        <v>2</v>
      </c>
      <c r="G13" s="1" t="s">
        <v>743</v>
      </c>
      <c r="H13" s="1">
        <v>5</v>
      </c>
      <c r="I13" s="1">
        <v>1</v>
      </c>
      <c r="J13" s="1">
        <v>1</v>
      </c>
      <c r="K13" s="1" t="s">
        <v>1138</v>
      </c>
    </row>
    <row r="14" ht="18" customHeight="1" spans="1:11">
      <c r="A14" s="3"/>
      <c r="B14" s="3"/>
      <c r="C14" s="1" t="s">
        <v>1139</v>
      </c>
      <c r="D14" s="1" t="s">
        <v>1140</v>
      </c>
      <c r="E14" s="1" t="s">
        <v>1141</v>
      </c>
      <c r="F14" s="1">
        <v>3</v>
      </c>
      <c r="G14" s="1" t="s">
        <v>743</v>
      </c>
      <c r="H14" s="1">
        <v>4</v>
      </c>
      <c r="I14" s="1">
        <v>1</v>
      </c>
      <c r="J14" s="1">
        <v>2</v>
      </c>
      <c r="K14" s="1" t="s">
        <v>1142</v>
      </c>
    </row>
    <row r="15" ht="18" customHeight="1" spans="1:11">
      <c r="A15" s="3"/>
      <c r="B15" s="3"/>
      <c r="C15" s="1" t="s">
        <v>1143</v>
      </c>
      <c r="D15" s="1" t="s">
        <v>1144</v>
      </c>
      <c r="E15" s="1" t="s">
        <v>1145</v>
      </c>
      <c r="F15" s="1">
        <v>4</v>
      </c>
      <c r="G15" s="1" t="s">
        <v>743</v>
      </c>
      <c r="H15" s="1">
        <v>4</v>
      </c>
      <c r="I15" s="1">
        <v>1</v>
      </c>
      <c r="J15" s="1">
        <v>2</v>
      </c>
      <c r="K15" s="1" t="s">
        <v>1146</v>
      </c>
    </row>
    <row r="16" ht="18" customHeight="1" spans="1:11">
      <c r="A16" s="3"/>
      <c r="B16" s="3"/>
      <c r="C16" s="1" t="s">
        <v>1147</v>
      </c>
      <c r="D16" s="1" t="s">
        <v>1148</v>
      </c>
      <c r="E16" s="1" t="s">
        <v>1149</v>
      </c>
      <c r="F16" s="1">
        <v>5</v>
      </c>
      <c r="G16" s="1" t="s">
        <v>743</v>
      </c>
      <c r="H16" s="1">
        <v>5</v>
      </c>
      <c r="I16" s="1">
        <v>1</v>
      </c>
      <c r="J16" s="1">
        <v>1</v>
      </c>
      <c r="K16" s="1" t="s">
        <v>1150</v>
      </c>
    </row>
    <row r="17" ht="18" customHeight="1" spans="1:11">
      <c r="A17" s="3"/>
      <c r="B17" s="3"/>
      <c r="C17" s="1" t="s">
        <v>1151</v>
      </c>
      <c r="D17" s="1" t="s">
        <v>1152</v>
      </c>
      <c r="E17" s="1" t="s">
        <v>1153</v>
      </c>
      <c r="F17" s="1">
        <v>1</v>
      </c>
      <c r="G17" s="1" t="s">
        <v>745</v>
      </c>
      <c r="H17" s="1">
        <v>1</v>
      </c>
      <c r="I17" s="1">
        <v>5</v>
      </c>
      <c r="J17" s="1">
        <v>1</v>
      </c>
      <c r="K17" s="1" t="s">
        <v>1154</v>
      </c>
    </row>
    <row r="18" ht="18" customHeight="1" spans="1:11">
      <c r="A18" s="3"/>
      <c r="B18" s="3"/>
      <c r="C18" s="1" t="s">
        <v>1155</v>
      </c>
      <c r="D18" s="1" t="s">
        <v>1144</v>
      </c>
      <c r="E18" s="1" t="s">
        <v>1156</v>
      </c>
      <c r="F18" s="1">
        <v>2</v>
      </c>
      <c r="G18" s="1" t="s">
        <v>745</v>
      </c>
      <c r="H18" s="1">
        <v>1</v>
      </c>
      <c r="I18" s="1">
        <v>5</v>
      </c>
      <c r="J18" s="1">
        <v>1</v>
      </c>
      <c r="K18" s="1" t="s">
        <v>1157</v>
      </c>
    </row>
    <row r="19" ht="18" customHeight="1" spans="1:11">
      <c r="A19" s="3"/>
      <c r="B19" s="3"/>
      <c r="C19" s="1" t="s">
        <v>1158</v>
      </c>
      <c r="D19" s="1" t="s">
        <v>1159</v>
      </c>
      <c r="E19" s="1" t="s">
        <v>1107</v>
      </c>
      <c r="F19" s="1">
        <v>3</v>
      </c>
      <c r="G19" s="1" t="s">
        <v>745</v>
      </c>
      <c r="H19" s="1">
        <v>2</v>
      </c>
      <c r="I19" s="1">
        <v>4</v>
      </c>
      <c r="J19" s="1">
        <v>1</v>
      </c>
      <c r="K19" s="1" t="s">
        <v>1160</v>
      </c>
    </row>
    <row r="20" ht="18" customHeight="1" spans="1:11">
      <c r="A20" s="3"/>
      <c r="B20" s="3"/>
      <c r="C20" s="1" t="s">
        <v>1161</v>
      </c>
      <c r="D20" s="1" t="s">
        <v>1162</v>
      </c>
      <c r="E20" s="1" t="s">
        <v>1163</v>
      </c>
      <c r="F20" s="1">
        <v>4</v>
      </c>
      <c r="G20" s="1" t="s">
        <v>745</v>
      </c>
      <c r="H20" s="1">
        <v>1</v>
      </c>
      <c r="I20" s="1">
        <v>5</v>
      </c>
      <c r="J20" s="1">
        <v>1</v>
      </c>
      <c r="K20" s="1" t="s">
        <v>1164</v>
      </c>
    </row>
    <row r="21" ht="18" customHeight="1" spans="1:11">
      <c r="A21" s="3"/>
      <c r="B21" s="3"/>
      <c r="C21" s="1" t="s">
        <v>1165</v>
      </c>
      <c r="D21" s="1" t="s">
        <v>1166</v>
      </c>
      <c r="E21" s="1" t="s">
        <v>1167</v>
      </c>
      <c r="F21" s="1">
        <v>5</v>
      </c>
      <c r="G21" s="1" t="s">
        <v>745</v>
      </c>
      <c r="H21" s="1">
        <v>1</v>
      </c>
      <c r="I21" s="1">
        <v>5</v>
      </c>
      <c r="J21" s="1">
        <v>1</v>
      </c>
      <c r="K21" s="1" t="s">
        <v>1168</v>
      </c>
    </row>
    <row r="22" ht="18" customHeight="1" spans="1:11">
      <c r="B22" s="3" t="s">
        <v>1169</v>
      </c>
      <c r="C22" s="1" t="s">
        <v>1170</v>
      </c>
      <c r="D22" s="1" t="s">
        <v>1171</v>
      </c>
      <c r="E22" s="1" t="s">
        <v>1172</v>
      </c>
      <c r="F22" s="1">
        <v>1</v>
      </c>
      <c r="G22" s="1" t="s">
        <v>750</v>
      </c>
      <c r="H22" s="1">
        <v>2</v>
      </c>
      <c r="I22" s="1">
        <v>3</v>
      </c>
      <c r="J22" s="1">
        <v>2</v>
      </c>
      <c r="K22" s="1" t="s">
        <v>1173</v>
      </c>
    </row>
    <row r="23" ht="18" customHeight="1" spans="1:11">
      <c r="B23" s="3"/>
      <c r="C23" s="1" t="s">
        <v>1174</v>
      </c>
      <c r="D23" s="1" t="s">
        <v>1175</v>
      </c>
      <c r="E23" s="1" t="s">
        <v>1176</v>
      </c>
      <c r="F23" s="1">
        <v>2</v>
      </c>
      <c r="G23" s="1" t="s">
        <v>750</v>
      </c>
      <c r="H23" s="1">
        <v>3</v>
      </c>
      <c r="I23" s="1">
        <v>2</v>
      </c>
      <c r="J23" s="1">
        <v>2</v>
      </c>
      <c r="K23" s="1" t="s">
        <v>1177</v>
      </c>
    </row>
    <row r="24" ht="18" customHeight="1" spans="1:11">
      <c r="B24" s="3"/>
      <c r="C24" s="1" t="s">
        <v>939</v>
      </c>
      <c r="D24" s="1" t="s">
        <v>1178</v>
      </c>
      <c r="E24" s="1" t="s">
        <v>1179</v>
      </c>
      <c r="F24" s="1">
        <v>3</v>
      </c>
      <c r="G24" s="1" t="s">
        <v>750</v>
      </c>
      <c r="H24" s="1">
        <v>3</v>
      </c>
      <c r="I24" s="1">
        <v>2</v>
      </c>
      <c r="J24" s="1">
        <v>2</v>
      </c>
      <c r="K24" s="1" t="s">
        <v>1180</v>
      </c>
    </row>
    <row r="25" ht="18" customHeight="1" spans="1:11">
      <c r="B25" s="3"/>
      <c r="C25" s="1" t="s">
        <v>1181</v>
      </c>
      <c r="D25" s="1" t="s">
        <v>1182</v>
      </c>
      <c r="E25" s="1" t="s">
        <v>1183</v>
      </c>
      <c r="F25" s="1">
        <v>4</v>
      </c>
      <c r="G25" s="1" t="s">
        <v>750</v>
      </c>
      <c r="H25" s="1">
        <v>3</v>
      </c>
      <c r="I25" s="1">
        <v>2</v>
      </c>
      <c r="J25" s="1">
        <v>2</v>
      </c>
      <c r="K25" s="1" t="s">
        <v>1184</v>
      </c>
    </row>
    <row r="26" ht="18" customHeight="1" spans="1:11">
      <c r="B26" s="3"/>
      <c r="C26" s="1" t="s">
        <v>1185</v>
      </c>
      <c r="E26" s="1" t="s">
        <v>1186</v>
      </c>
      <c r="F26" s="1">
        <v>5</v>
      </c>
      <c r="G26" s="1" t="s">
        <v>750</v>
      </c>
      <c r="H26" s="1">
        <v>3</v>
      </c>
      <c r="I26" s="1">
        <v>2</v>
      </c>
      <c r="J26" s="1">
        <v>2</v>
      </c>
      <c r="K26" s="1" t="s">
        <v>1187</v>
      </c>
    </row>
    <row r="27" ht="18" customHeight="1" spans="1:11">
      <c r="B27" s="3"/>
      <c r="C27" s="1" t="s">
        <v>1188</v>
      </c>
      <c r="D27" s="1" t="s">
        <v>1189</v>
      </c>
      <c r="E27" s="2" t="s">
        <v>1190</v>
      </c>
      <c r="F27" s="2" t="s">
        <v>1093</v>
      </c>
      <c r="G27" s="2" t="s">
        <v>1094</v>
      </c>
      <c r="H27" s="2" t="s">
        <v>14</v>
      </c>
      <c r="I27" s="2" t="s">
        <v>10</v>
      </c>
      <c r="J27" s="2" t="s">
        <v>12</v>
      </c>
      <c r="K27" s="2" t="s">
        <v>1082</v>
      </c>
    </row>
    <row r="28" ht="18" customHeight="1" spans="1:11">
      <c r="B28" s="3"/>
      <c r="C28" s="1" t="s">
        <v>539</v>
      </c>
      <c r="D28" s="1" t="s">
        <v>1191</v>
      </c>
      <c r="E28" s="1" t="s">
        <v>1192</v>
      </c>
      <c r="F28" s="1">
        <v>1</v>
      </c>
      <c r="G28" s="1" t="s">
        <v>739</v>
      </c>
      <c r="H28" s="1">
        <v>1</v>
      </c>
      <c r="I28" s="1">
        <v>4</v>
      </c>
      <c r="J28" s="1">
        <v>2</v>
      </c>
    </row>
    <row r="29" ht="18" customHeight="1" spans="1:11">
      <c r="B29" s="3"/>
      <c r="E29" s="1" t="s">
        <v>1193</v>
      </c>
      <c r="F29" s="1">
        <v>2</v>
      </c>
      <c r="G29" s="1" t="s">
        <v>739</v>
      </c>
      <c r="H29" s="1">
        <v>1</v>
      </c>
      <c r="I29" s="1">
        <v>4</v>
      </c>
      <c r="J29" s="1">
        <v>2</v>
      </c>
    </row>
    <row r="30" ht="18" customHeight="1" spans="1:11">
      <c r="B30" s="3"/>
      <c r="C30" s="1" t="s">
        <v>1194</v>
      </c>
      <c r="D30" s="1" t="s">
        <v>1195</v>
      </c>
      <c r="E30" s="1" t="s">
        <v>1196</v>
      </c>
      <c r="F30" s="1">
        <v>3</v>
      </c>
      <c r="G30" s="1" t="s">
        <v>739</v>
      </c>
      <c r="H30" s="1">
        <v>4</v>
      </c>
      <c r="I30" s="1">
        <v>2</v>
      </c>
      <c r="J30" s="1">
        <v>1</v>
      </c>
    </row>
    <row r="31" ht="18" customHeight="1" spans="1:11">
      <c r="B31" s="3"/>
      <c r="C31" s="1" t="s">
        <v>491</v>
      </c>
      <c r="D31" s="1" t="s">
        <v>1197</v>
      </c>
      <c r="E31" s="1" t="s">
        <v>1198</v>
      </c>
      <c r="F31" s="1">
        <v>4</v>
      </c>
      <c r="G31" s="1" t="s">
        <v>739</v>
      </c>
      <c r="H31" s="1">
        <v>4</v>
      </c>
      <c r="I31" s="1">
        <v>2</v>
      </c>
      <c r="J31" s="1">
        <v>1</v>
      </c>
    </row>
    <row r="32" ht="18" customHeight="1" spans="1:11">
      <c r="B32" s="3" t="s">
        <v>1169</v>
      </c>
      <c r="C32" s="1" t="s">
        <v>1199</v>
      </c>
      <c r="D32" s="1" t="s">
        <v>1200</v>
      </c>
      <c r="E32" s="1" t="s">
        <v>1201</v>
      </c>
      <c r="F32" s="1">
        <v>5</v>
      </c>
      <c r="G32" s="1" t="s">
        <v>739</v>
      </c>
      <c r="H32" s="1">
        <v>4</v>
      </c>
      <c r="I32" s="1">
        <v>2</v>
      </c>
      <c r="J32" s="1">
        <v>1</v>
      </c>
    </row>
    <row r="33" ht="18" customHeight="1" spans="2:11">
      <c r="B33" s="3"/>
      <c r="C33" s="1" t="s">
        <v>1202</v>
      </c>
      <c r="D33" s="1" t="s">
        <v>1203</v>
      </c>
      <c r="E33" s="1" t="s">
        <v>1204</v>
      </c>
      <c r="F33" s="1">
        <v>1</v>
      </c>
      <c r="G33" s="1" t="s">
        <v>741</v>
      </c>
      <c r="H33" s="1">
        <v>1</v>
      </c>
      <c r="I33" s="1">
        <v>5</v>
      </c>
      <c r="J33" s="1">
        <v>1</v>
      </c>
      <c r="K33" s="1" t="s">
        <v>1205</v>
      </c>
    </row>
    <row r="34" ht="18" customHeight="1" spans="2:11">
      <c r="B34" s="3"/>
      <c r="C34" s="1" t="s">
        <v>539</v>
      </c>
      <c r="D34" s="1" t="s">
        <v>1206</v>
      </c>
      <c r="E34" s="1" t="s">
        <v>1207</v>
      </c>
      <c r="F34" s="1">
        <v>2</v>
      </c>
      <c r="G34" s="1" t="s">
        <v>741</v>
      </c>
      <c r="H34" s="1">
        <v>1</v>
      </c>
      <c r="I34" s="1">
        <v>5</v>
      </c>
      <c r="J34" s="1">
        <v>1</v>
      </c>
      <c r="K34" s="1" t="s">
        <v>1208</v>
      </c>
    </row>
    <row r="35" ht="18" customHeight="1" spans="2:11">
      <c r="B35" s="3"/>
      <c r="C35" s="1" t="s">
        <v>82</v>
      </c>
      <c r="D35" s="1" t="s">
        <v>1209</v>
      </c>
      <c r="E35" s="1" t="s">
        <v>1210</v>
      </c>
      <c r="F35" s="1">
        <v>3</v>
      </c>
      <c r="G35" s="1" t="s">
        <v>741</v>
      </c>
      <c r="H35" s="1">
        <v>1</v>
      </c>
      <c r="I35" s="1">
        <v>4</v>
      </c>
      <c r="J35" s="1">
        <v>2</v>
      </c>
      <c r="K35" s="1" t="s">
        <v>1211</v>
      </c>
    </row>
    <row r="36" ht="18" customHeight="1" spans="2:11">
      <c r="B36" s="3"/>
      <c r="C36" s="1" t="s">
        <v>1212</v>
      </c>
      <c r="D36" s="1" t="s">
        <v>1213</v>
      </c>
      <c r="E36" s="1" t="s">
        <v>1214</v>
      </c>
      <c r="F36" s="1">
        <v>4</v>
      </c>
      <c r="G36" s="1" t="s">
        <v>741</v>
      </c>
      <c r="H36" s="1">
        <v>1</v>
      </c>
      <c r="I36" s="1">
        <v>4</v>
      </c>
      <c r="J36" s="1">
        <v>2</v>
      </c>
      <c r="K36" s="1" t="s">
        <v>1215</v>
      </c>
    </row>
    <row r="37" ht="18" customHeight="1" spans="2:11">
      <c r="B37" s="3"/>
      <c r="C37" s="1" t="s">
        <v>531</v>
      </c>
      <c r="D37" s="1" t="s">
        <v>1216</v>
      </c>
      <c r="E37" s="1" t="s">
        <v>1217</v>
      </c>
      <c r="F37" s="1">
        <v>5</v>
      </c>
      <c r="G37" s="1" t="s">
        <v>741</v>
      </c>
      <c r="H37" s="1">
        <v>1</v>
      </c>
      <c r="I37" s="1">
        <v>4</v>
      </c>
      <c r="J37" s="1">
        <v>2</v>
      </c>
      <c r="K37" s="1" t="s">
        <v>1218</v>
      </c>
    </row>
    <row r="38" ht="18" customHeight="1" spans="2:11">
      <c r="B38" s="3"/>
      <c r="C38" s="1" t="s">
        <v>1219</v>
      </c>
      <c r="D38" s="1" t="s">
        <v>1220</v>
      </c>
      <c r="E38" s="1" t="s">
        <v>1221</v>
      </c>
      <c r="F38" s="1">
        <v>1</v>
      </c>
      <c r="G38" s="1" t="s">
        <v>743</v>
      </c>
      <c r="H38" s="1">
        <v>1</v>
      </c>
      <c r="I38" s="1">
        <v>2</v>
      </c>
      <c r="J38" s="1">
        <v>4</v>
      </c>
      <c r="K38" s="1" t="s">
        <v>1222</v>
      </c>
    </row>
    <row r="39" ht="18" customHeight="1" spans="2:11">
      <c r="B39" s="3"/>
      <c r="C39" s="1" t="s">
        <v>949</v>
      </c>
      <c r="D39" s="1" t="s">
        <v>1223</v>
      </c>
      <c r="E39" s="1" t="s">
        <v>1224</v>
      </c>
      <c r="F39" s="1">
        <v>2</v>
      </c>
      <c r="G39" s="1" t="s">
        <v>743</v>
      </c>
      <c r="H39" s="1">
        <v>1</v>
      </c>
      <c r="I39" s="1">
        <v>2</v>
      </c>
      <c r="J39" s="1">
        <v>4</v>
      </c>
      <c r="K39" s="1" t="s">
        <v>1225</v>
      </c>
    </row>
    <row r="40" ht="18" customHeight="1" spans="2:11">
      <c r="B40" s="3"/>
      <c r="D40" s="1" t="s">
        <v>1226</v>
      </c>
      <c r="E40" s="1" t="s">
        <v>1227</v>
      </c>
      <c r="F40" s="1">
        <v>3</v>
      </c>
      <c r="G40" s="1" t="s">
        <v>743</v>
      </c>
      <c r="H40" s="1">
        <v>1</v>
      </c>
      <c r="I40" s="1">
        <v>2</v>
      </c>
      <c r="J40" s="1">
        <v>4</v>
      </c>
      <c r="K40" s="1" t="s">
        <v>1228</v>
      </c>
    </row>
    <row r="41" ht="18" customHeight="1" spans="2:11">
      <c r="B41" s="3"/>
      <c r="C41" s="1" t="s">
        <v>1229</v>
      </c>
      <c r="D41" s="1" t="s">
        <v>1230</v>
      </c>
      <c r="E41" s="1" t="s">
        <v>1231</v>
      </c>
      <c r="F41" s="1">
        <v>4</v>
      </c>
      <c r="G41" s="1" t="s">
        <v>743</v>
      </c>
      <c r="H41" s="1">
        <v>1</v>
      </c>
      <c r="I41" s="1">
        <v>2</v>
      </c>
      <c r="J41" s="1">
        <v>4</v>
      </c>
      <c r="K41" s="1" t="s">
        <v>1232</v>
      </c>
    </row>
    <row r="42" ht="18" customHeight="1" spans="2:11">
      <c r="B42" s="3" t="s">
        <v>1233</v>
      </c>
      <c r="C42" s="1" t="s">
        <v>1234</v>
      </c>
      <c r="D42" s="1" t="s">
        <v>1235</v>
      </c>
      <c r="E42" s="1" t="s">
        <v>1236</v>
      </c>
      <c r="F42" s="1">
        <v>5</v>
      </c>
      <c r="G42" s="1" t="s">
        <v>743</v>
      </c>
      <c r="H42" s="1">
        <v>1</v>
      </c>
      <c r="I42" s="1">
        <v>2</v>
      </c>
      <c r="J42" s="1">
        <v>4</v>
      </c>
      <c r="K42" s="1" t="s">
        <v>1237</v>
      </c>
    </row>
    <row r="43" ht="18" customHeight="1" spans="2:11">
      <c r="B43" s="3"/>
      <c r="C43" s="1" t="s">
        <v>1238</v>
      </c>
      <c r="D43" s="1" t="s">
        <v>1239</v>
      </c>
      <c r="E43" s="1" t="s">
        <v>1240</v>
      </c>
      <c r="F43" s="1">
        <v>1</v>
      </c>
      <c r="G43" s="1" t="s">
        <v>745</v>
      </c>
      <c r="H43" s="1">
        <v>4</v>
      </c>
      <c r="I43" s="1">
        <v>2</v>
      </c>
      <c r="J43" s="1">
        <v>1</v>
      </c>
      <c r="K43" s="1" t="s">
        <v>1241</v>
      </c>
    </row>
    <row r="44" ht="18" customHeight="1" spans="2:11">
      <c r="B44" s="3"/>
      <c r="C44" s="1" t="s">
        <v>1242</v>
      </c>
      <c r="D44" s="1" t="s">
        <v>1243</v>
      </c>
      <c r="E44" s="1" t="s">
        <v>1244</v>
      </c>
      <c r="F44" s="1">
        <v>2</v>
      </c>
      <c r="G44" s="1" t="s">
        <v>745</v>
      </c>
      <c r="H44" s="1">
        <v>4</v>
      </c>
      <c r="I44" s="1">
        <v>2</v>
      </c>
      <c r="J44" s="1">
        <v>1</v>
      </c>
      <c r="K44" s="1" t="s">
        <v>1245</v>
      </c>
    </row>
    <row r="45" ht="18" customHeight="1" spans="2:11">
      <c r="B45" s="3"/>
      <c r="C45" s="1" t="s">
        <v>1246</v>
      </c>
      <c r="D45" s="1" t="s">
        <v>1247</v>
      </c>
      <c r="E45" s="1" t="s">
        <v>1248</v>
      </c>
      <c r="F45" s="1">
        <v>3</v>
      </c>
      <c r="G45" s="1" t="s">
        <v>745</v>
      </c>
      <c r="H45" s="1">
        <v>4</v>
      </c>
      <c r="I45" s="1">
        <v>2</v>
      </c>
      <c r="J45" s="1">
        <v>1</v>
      </c>
      <c r="K45" s="1" t="s">
        <v>1249</v>
      </c>
    </row>
    <row r="46" ht="18" customHeight="1" spans="2:11">
      <c r="B46" s="3"/>
      <c r="C46" s="1" t="s">
        <v>1250</v>
      </c>
      <c r="D46" s="1" t="s">
        <v>1251</v>
      </c>
      <c r="E46" s="1" t="s">
        <v>1252</v>
      </c>
      <c r="F46" s="1">
        <v>4</v>
      </c>
      <c r="G46" s="1" t="s">
        <v>745</v>
      </c>
      <c r="H46" s="1">
        <v>4</v>
      </c>
      <c r="I46" s="1">
        <v>2</v>
      </c>
      <c r="J46" s="1">
        <v>1</v>
      </c>
      <c r="K46" s="1" t="s">
        <v>1253</v>
      </c>
    </row>
    <row r="47" ht="18" customHeight="1" spans="2:11">
      <c r="B47" s="3"/>
      <c r="C47" s="1" t="s">
        <v>1254</v>
      </c>
      <c r="D47" s="1" t="s">
        <v>1255</v>
      </c>
      <c r="E47" s="1" t="s">
        <v>1256</v>
      </c>
      <c r="F47" s="1">
        <v>5</v>
      </c>
      <c r="G47" s="1" t="s">
        <v>745</v>
      </c>
      <c r="H47" s="1">
        <v>1</v>
      </c>
      <c r="I47" s="1">
        <v>2</v>
      </c>
      <c r="J47" s="1">
        <v>4</v>
      </c>
      <c r="K47" s="1" t="s">
        <v>1257</v>
      </c>
    </row>
    <row r="48" ht="18" customHeight="1" spans="2:11">
      <c r="B48" s="3"/>
      <c r="C48" s="1" t="s">
        <v>1258</v>
      </c>
      <c r="D48" s="1" t="s">
        <v>1259</v>
      </c>
      <c r="E48" s="1" t="s">
        <v>1260</v>
      </c>
      <c r="F48" s="1">
        <v>1</v>
      </c>
      <c r="G48" s="1" t="s">
        <v>750</v>
      </c>
      <c r="H48" s="1">
        <v>1</v>
      </c>
      <c r="I48" s="1">
        <v>4</v>
      </c>
      <c r="J48" s="1">
        <v>2</v>
      </c>
      <c r="K48" s="1" t="s">
        <v>1261</v>
      </c>
    </row>
    <row r="49" ht="18" customHeight="1" spans="2:19">
      <c r="B49" s="3"/>
      <c r="C49" s="1" t="s">
        <v>1199</v>
      </c>
      <c r="D49" s="1" t="s">
        <v>1262</v>
      </c>
      <c r="E49" s="1" t="s">
        <v>1263</v>
      </c>
      <c r="F49" s="1">
        <v>2</v>
      </c>
      <c r="G49" s="1" t="s">
        <v>750</v>
      </c>
      <c r="H49" s="1">
        <v>1</v>
      </c>
      <c r="I49" s="1">
        <v>4</v>
      </c>
      <c r="J49" s="1">
        <v>2</v>
      </c>
      <c r="K49" s="1" t="s">
        <v>1264</v>
      </c>
    </row>
    <row r="50" ht="18" customHeight="1" spans="2:19">
      <c r="B50" s="3"/>
      <c r="C50" s="1" t="s">
        <v>1265</v>
      </c>
      <c r="D50" s="1" t="s">
        <v>1266</v>
      </c>
      <c r="E50" s="1" t="s">
        <v>1267</v>
      </c>
      <c r="F50" s="1">
        <v>3</v>
      </c>
      <c r="G50" s="1" t="s">
        <v>750</v>
      </c>
      <c r="H50" s="1">
        <v>1</v>
      </c>
      <c r="I50" s="1">
        <v>2</v>
      </c>
      <c r="J50" s="1">
        <v>4</v>
      </c>
      <c r="K50" s="1" t="s">
        <v>1268</v>
      </c>
    </row>
    <row r="51" ht="18" customHeight="1" spans="2:19">
      <c r="B51" s="3"/>
      <c r="C51" s="1" t="s">
        <v>1269</v>
      </c>
      <c r="D51" s="1" t="s">
        <v>1270</v>
      </c>
      <c r="E51" s="1" t="s">
        <v>1271</v>
      </c>
      <c r="F51" s="1">
        <v>4</v>
      </c>
      <c r="G51" s="1" t="s">
        <v>750</v>
      </c>
      <c r="H51" s="1">
        <v>1</v>
      </c>
      <c r="I51" s="1">
        <v>2</v>
      </c>
      <c r="J51" s="1">
        <v>4</v>
      </c>
      <c r="K51" s="1" t="s">
        <v>1272</v>
      </c>
    </row>
    <row r="52" ht="18" customHeight="1" spans="2:19">
      <c r="B52" s="3" t="s">
        <v>1233</v>
      </c>
      <c r="C52" s="1" t="s">
        <v>1273</v>
      </c>
      <c r="D52" s="1" t="s">
        <v>1274</v>
      </c>
      <c r="E52" s="1" t="s">
        <v>1275</v>
      </c>
      <c r="F52" s="1">
        <v>5</v>
      </c>
      <c r="G52" s="1" t="s">
        <v>750</v>
      </c>
      <c r="H52" s="1">
        <v>1</v>
      </c>
      <c r="I52" s="1">
        <v>2</v>
      </c>
      <c r="J52" s="1">
        <v>4</v>
      </c>
      <c r="K52" s="1" t="s">
        <v>1276</v>
      </c>
    </row>
    <row r="53" ht="18" customHeight="1" spans="2:19">
      <c r="B53" s="3"/>
      <c r="C53" s="1" t="s">
        <v>1277</v>
      </c>
      <c r="D53" s="1" t="s">
        <v>1278</v>
      </c>
    </row>
    <row r="54" spans="2:19">
      <c r="B54" s="3"/>
      <c r="C54" s="1" t="s">
        <v>1279</v>
      </c>
      <c r="D54" s="1" t="s">
        <v>1280</v>
      </c>
    </row>
    <row r="55" spans="2:19">
      <c r="B55" s="3"/>
      <c r="C55" s="1" t="s">
        <v>1281</v>
      </c>
      <c r="D55" s="1" t="s">
        <v>1282</v>
      </c>
      <c r="G55" s="1" t="s">
        <v>1283</v>
      </c>
      <c r="L55" s="1" t="s">
        <v>1284</v>
      </c>
      <c r="M55"/>
      <c r="N55"/>
      <c r="O55"/>
      <c r="P55"/>
      <c r="Q55"/>
      <c r="R55"/>
      <c r="S55"/>
    </row>
    <row r="56" spans="2:19">
      <c r="B56" s="3"/>
      <c r="C56" s="1" t="s">
        <v>1285</v>
      </c>
      <c r="D56" s="1" t="s">
        <v>1286</v>
      </c>
      <c r="G56" s="1" t="s">
        <v>1287</v>
      </c>
      <c r="L56" s="1" t="s">
        <v>1288</v>
      </c>
      <c r="M56"/>
      <c r="N56"/>
      <c r="O56"/>
      <c r="P56"/>
      <c r="Q56"/>
      <c r="R56"/>
      <c r="S56"/>
    </row>
    <row r="57" spans="2:19">
      <c r="B57" s="3"/>
      <c r="C57" s="1" t="s">
        <v>1289</v>
      </c>
      <c r="D57" s="1" t="s">
        <v>1290</v>
      </c>
      <c r="G57" s="1" t="s">
        <v>1291</v>
      </c>
      <c r="M57"/>
      <c r="N57"/>
      <c r="O57"/>
      <c r="P57"/>
      <c r="Q57"/>
      <c r="R57"/>
      <c r="S57"/>
    </row>
    <row r="58" spans="2:19">
      <c r="B58" s="3"/>
      <c r="C58" s="1" t="s">
        <v>1292</v>
      </c>
      <c r="D58" s="1" t="s">
        <v>1293</v>
      </c>
      <c r="L58" s="1" t="s">
        <v>1294</v>
      </c>
      <c r="M58"/>
      <c r="N58"/>
      <c r="O58"/>
      <c r="P58"/>
      <c r="Q58"/>
      <c r="R58"/>
      <c r="S58"/>
    </row>
    <row r="59" spans="2:19">
      <c r="B59" s="3"/>
      <c r="C59" s="1" t="s">
        <v>1295</v>
      </c>
      <c r="D59" s="1" t="s">
        <v>1296</v>
      </c>
      <c r="M59"/>
      <c r="N59"/>
      <c r="O59"/>
      <c r="P59"/>
      <c r="Q59"/>
      <c r="R59"/>
      <c r="S59"/>
    </row>
    <row r="60" spans="2:19">
      <c r="B60" s="3"/>
      <c r="C60" s="1" t="s">
        <v>1297</v>
      </c>
      <c r="D60" s="1" t="s">
        <v>1298</v>
      </c>
      <c r="L60" s="1" t="s">
        <v>1299</v>
      </c>
      <c r="M60"/>
      <c r="N60"/>
      <c r="O60"/>
      <c r="P60"/>
      <c r="Q60"/>
      <c r="R60"/>
      <c r="S60"/>
    </row>
    <row r="61" spans="2:19">
      <c r="B61" s="3"/>
      <c r="C61" s="1" t="s">
        <v>1300</v>
      </c>
      <c r="D61" s="1" t="s">
        <v>1301</v>
      </c>
      <c r="G61" s="1" t="s">
        <v>1203</v>
      </c>
      <c r="L61" s="1" t="s">
        <v>1302</v>
      </c>
      <c r="M61"/>
      <c r="N61"/>
      <c r="O61"/>
      <c r="P61"/>
      <c r="Q61"/>
      <c r="R61"/>
      <c r="S61"/>
    </row>
    <row r="62" spans="2:19">
      <c r="B62" s="3" t="s">
        <v>1303</v>
      </c>
      <c r="C62" s="1" t="s">
        <v>1304</v>
      </c>
      <c r="D62" s="1" t="s">
        <v>1305</v>
      </c>
      <c r="G62" s="1" t="s">
        <v>1306</v>
      </c>
      <c r="L62" s="1" t="s">
        <v>1307</v>
      </c>
      <c r="M62"/>
      <c r="N62"/>
      <c r="O62"/>
      <c r="P62"/>
      <c r="Q62"/>
      <c r="R62"/>
      <c r="S62"/>
    </row>
    <row r="63" spans="2:19">
      <c r="B63" s="3"/>
      <c r="C63" s="1" t="s">
        <v>1308</v>
      </c>
      <c r="D63" s="1" t="s">
        <v>1309</v>
      </c>
      <c r="G63" s="1" t="s">
        <v>1310</v>
      </c>
      <c r="L63" s="1" t="s">
        <v>1311</v>
      </c>
      <c r="M63"/>
      <c r="N63"/>
      <c r="O63"/>
      <c r="P63"/>
      <c r="Q63"/>
      <c r="R63"/>
      <c r="S63"/>
    </row>
    <row r="64" spans="2:19">
      <c r="B64" s="3"/>
      <c r="C64" s="1" t="s">
        <v>1312</v>
      </c>
      <c r="G64" s="1" t="s">
        <v>1313</v>
      </c>
      <c r="O64"/>
      <c r="P64"/>
      <c r="Q64"/>
      <c r="R64"/>
      <c r="S64"/>
    </row>
    <row r="65" spans="2:19">
      <c r="B65" s="3"/>
      <c r="C65" s="1" t="s">
        <v>1314</v>
      </c>
      <c r="D65" s="1" t="s">
        <v>1315</v>
      </c>
      <c r="G65" s="1" t="s">
        <v>1316</v>
      </c>
      <c r="L65" s="1" t="s">
        <v>1317</v>
      </c>
      <c r="M65"/>
      <c r="N65"/>
      <c r="O65"/>
      <c r="P65"/>
      <c r="Q65"/>
      <c r="R65"/>
      <c r="S65"/>
    </row>
    <row r="66" spans="2:19">
      <c r="B66" s="3"/>
      <c r="G66" s="1" t="s">
        <v>1318</v>
      </c>
      <c r="H66" s="1" t="s">
        <v>1319</v>
      </c>
      <c r="L66" s="1" t="s">
        <v>1320</v>
      </c>
      <c r="M66"/>
      <c r="N66"/>
      <c r="O66"/>
      <c r="P66"/>
      <c r="Q66"/>
      <c r="R66"/>
      <c r="S66"/>
    </row>
    <row r="67" spans="2:19">
      <c r="B67" s="3"/>
      <c r="C67" s="1" t="s">
        <v>1321</v>
      </c>
      <c r="D67" s="1" t="s">
        <v>1291</v>
      </c>
      <c r="G67" s="1" t="s">
        <v>1322</v>
      </c>
      <c r="H67" s="1" t="s">
        <v>1323</v>
      </c>
      <c r="L67" s="1" t="s">
        <v>1324</v>
      </c>
      <c r="M67"/>
      <c r="N67"/>
      <c r="O67"/>
      <c r="P67"/>
      <c r="Q67"/>
      <c r="R67"/>
      <c r="S67"/>
    </row>
    <row r="68" spans="2:19">
      <c r="B68" s="3"/>
      <c r="G68" s="1" t="s">
        <v>1325</v>
      </c>
      <c r="H68" s="1" t="s">
        <v>1326</v>
      </c>
      <c r="L68" s="1" t="s">
        <v>1327</v>
      </c>
      <c r="M68"/>
      <c r="N68"/>
      <c r="O68"/>
      <c r="P68"/>
      <c r="Q68"/>
      <c r="R68"/>
      <c r="S68"/>
    </row>
    <row r="69" spans="2:19">
      <c r="B69" s="3"/>
      <c r="G69" s="1" t="s">
        <v>705</v>
      </c>
      <c r="H69" s="1" t="s">
        <v>1328</v>
      </c>
      <c r="L69" s="1" t="s">
        <v>1329</v>
      </c>
      <c r="M69"/>
      <c r="N69"/>
      <c r="O69"/>
      <c r="P69"/>
      <c r="Q69"/>
      <c r="R69"/>
      <c r="S69"/>
    </row>
    <row r="70" spans="2:19">
      <c r="B70" s="3"/>
      <c r="C70" s="1" t="s">
        <v>1330</v>
      </c>
      <c r="D70" s="1" t="s">
        <v>1331</v>
      </c>
      <c r="L70" s="1" t="s">
        <v>1332</v>
      </c>
      <c r="M70"/>
      <c r="N70"/>
      <c r="O70"/>
      <c r="P70"/>
      <c r="Q70"/>
      <c r="R70"/>
      <c r="S70"/>
    </row>
    <row r="71" spans="2:19">
      <c r="B71" s="3"/>
      <c r="C71" s="1" t="s">
        <v>1333</v>
      </c>
      <c r="D71" s="1" t="s">
        <v>1334</v>
      </c>
      <c r="G71" s="1" t="s">
        <v>1335</v>
      </c>
      <c r="H71" s="1" t="s">
        <v>1336</v>
      </c>
      <c r="L71" s="1" t="s">
        <v>1337</v>
      </c>
      <c r="M71"/>
      <c r="N71"/>
      <c r="O71"/>
      <c r="P71"/>
      <c r="Q71"/>
      <c r="R71"/>
      <c r="S71"/>
    </row>
    <row r="72" spans="2:19">
      <c r="B72" s="3" t="s">
        <v>1303</v>
      </c>
      <c r="C72" s="1" t="s">
        <v>1338</v>
      </c>
      <c r="D72" s="1" t="s">
        <v>1339</v>
      </c>
      <c r="G72" s="1" t="s">
        <v>1340</v>
      </c>
      <c r="H72" s="1" t="s">
        <v>1341</v>
      </c>
      <c r="L72" s="1" t="s">
        <v>1342</v>
      </c>
      <c r="M72"/>
      <c r="N72"/>
      <c r="O72"/>
      <c r="P72"/>
      <c r="Q72"/>
      <c r="R72"/>
      <c r="S72"/>
    </row>
    <row r="73" spans="2:19">
      <c r="B73" s="3"/>
      <c r="G73" s="1" t="s">
        <v>1343</v>
      </c>
      <c r="H73" s="1" t="s">
        <v>1344</v>
      </c>
      <c r="L73" s="1" t="s">
        <v>1345</v>
      </c>
      <c r="M73"/>
      <c r="N73"/>
      <c r="O73"/>
      <c r="P73"/>
      <c r="Q73"/>
      <c r="R73"/>
      <c r="S73"/>
    </row>
    <row r="74" spans="2:19">
      <c r="B74" s="3"/>
      <c r="L74" s="1" t="s">
        <v>1346</v>
      </c>
      <c r="M74"/>
      <c r="N74"/>
      <c r="O74"/>
      <c r="P74"/>
      <c r="Q74"/>
      <c r="R74"/>
      <c r="S74"/>
    </row>
    <row r="75" spans="2:19">
      <c r="B75" s="3"/>
      <c r="C75" s="1" t="s">
        <v>488</v>
      </c>
      <c r="D75" s="1" t="s">
        <v>1347</v>
      </c>
      <c r="E75" s="4"/>
      <c r="G75" s="1" t="s">
        <v>1348</v>
      </c>
      <c r="H75" s="1" t="s">
        <v>1349</v>
      </c>
      <c r="L75" s="1" t="s">
        <v>1350</v>
      </c>
      <c r="M75"/>
      <c r="N75"/>
      <c r="O75"/>
      <c r="P75"/>
      <c r="Q75"/>
      <c r="R75"/>
      <c r="S75"/>
    </row>
    <row r="76" spans="2:19">
      <c r="B76" s="3"/>
      <c r="E76" s="4"/>
      <c r="G76" s="1" t="s">
        <v>1351</v>
      </c>
      <c r="H76" s="1" t="s">
        <v>1352</v>
      </c>
    </row>
    <row r="77" spans="2:19">
      <c r="B77" s="3"/>
      <c r="G77" s="1" t="s">
        <v>1006</v>
      </c>
      <c r="H77" s="1" t="s">
        <v>1353</v>
      </c>
    </row>
    <row r="78" spans="2:19">
      <c r="B78" s="3"/>
      <c r="G78" s="1" t="s">
        <v>1354</v>
      </c>
      <c r="H78" s="1" t="s">
        <v>1355</v>
      </c>
    </row>
    <row r="79" spans="2:19">
      <c r="B79" s="3"/>
      <c r="E79" s="4"/>
      <c r="G79" s="1" t="s">
        <v>1356</v>
      </c>
      <c r="H79" s="1" t="s">
        <v>1357</v>
      </c>
    </row>
    <row r="80" spans="2:19">
      <c r="B80" s="3"/>
      <c r="E80" s="4"/>
      <c r="G80" s="1" t="s">
        <v>1358</v>
      </c>
      <c r="H80" s="1" t="s">
        <v>1359</v>
      </c>
    </row>
    <row r="81" spans="2:8">
      <c r="B81" s="3"/>
      <c r="E81" s="4"/>
    </row>
    <row r="82" spans="2:8">
      <c r="B82" s="3" t="s">
        <v>750</v>
      </c>
      <c r="C82" s="1" t="s">
        <v>1360</v>
      </c>
    </row>
    <row r="83" spans="2:8">
      <c r="B83" s="3"/>
      <c r="C83" s="1" t="s">
        <v>1361</v>
      </c>
      <c r="D83" s="1" t="s">
        <v>1362</v>
      </c>
      <c r="E83" s="5"/>
      <c r="G83" s="1" t="s">
        <v>759</v>
      </c>
      <c r="H83" s="1" t="s">
        <v>1363</v>
      </c>
    </row>
    <row r="84" spans="2:8">
      <c r="B84" s="3"/>
      <c r="C84" s="1" t="s">
        <v>1364</v>
      </c>
      <c r="D84" s="1" t="s">
        <v>1365</v>
      </c>
      <c r="E84" s="4"/>
      <c r="G84" s="1" t="s">
        <v>1366</v>
      </c>
      <c r="H84" s="1" t="s">
        <v>1367</v>
      </c>
    </row>
    <row r="85" spans="2:8">
      <c r="B85" s="3"/>
      <c r="C85" s="1" t="s">
        <v>1368</v>
      </c>
      <c r="D85" s="1" t="s">
        <v>1369</v>
      </c>
      <c r="E85" s="4"/>
      <c r="G85" s="1" t="s">
        <v>1370</v>
      </c>
      <c r="H85" s="1" t="s">
        <v>1371</v>
      </c>
    </row>
    <row r="86" spans="2:8">
      <c r="B86" s="3"/>
      <c r="C86" s="1" t="s">
        <v>1372</v>
      </c>
      <c r="D86" s="1" t="s">
        <v>1373</v>
      </c>
      <c r="E86" s="4"/>
      <c r="G86" s="1" t="s">
        <v>1374</v>
      </c>
      <c r="H86" s="1" t="s">
        <v>1375</v>
      </c>
    </row>
    <row r="87" spans="2:8">
      <c r="B87" s="3"/>
      <c r="C87" s="1" t="s">
        <v>1376</v>
      </c>
      <c r="D87" s="1" t="s">
        <v>1377</v>
      </c>
      <c r="G87" s="1" t="s">
        <v>1378</v>
      </c>
      <c r="H87" s="1" t="s">
        <v>1379</v>
      </c>
    </row>
    <row r="88" spans="2:8">
      <c r="B88" s="3"/>
      <c r="C88" s="1" t="s">
        <v>1380</v>
      </c>
      <c r="D88" s="1" t="s">
        <v>1381</v>
      </c>
      <c r="E88" s="4"/>
      <c r="G88" s="1" t="s">
        <v>1382</v>
      </c>
      <c r="H88" s="1" t="s">
        <v>1383</v>
      </c>
    </row>
    <row r="89" spans="2:8">
      <c r="B89" s="3"/>
      <c r="C89" s="1" t="s">
        <v>1384</v>
      </c>
      <c r="D89" s="1" t="s">
        <v>1385</v>
      </c>
      <c r="G89" s="1" t="s">
        <v>1386</v>
      </c>
      <c r="H89" s="1" t="s">
        <v>1387</v>
      </c>
    </row>
    <row r="90" spans="2:8">
      <c r="B90" s="3"/>
      <c r="C90" s="1" t="s">
        <v>1388</v>
      </c>
      <c r="D90" s="1" t="s">
        <v>1389</v>
      </c>
      <c r="G90" s="1" t="s">
        <v>1390</v>
      </c>
      <c r="H90" s="1" t="s">
        <v>1391</v>
      </c>
    </row>
    <row r="91" spans="2:8">
      <c r="B91" s="3"/>
      <c r="C91" s="1" t="s">
        <v>1392</v>
      </c>
    </row>
    <row r="92" spans="2:8">
      <c r="B92" s="3" t="s">
        <v>750</v>
      </c>
      <c r="C92" s="1" t="s">
        <v>494</v>
      </c>
      <c r="D92" s="1" t="s">
        <v>1393</v>
      </c>
      <c r="G92" s="1" t="s">
        <v>1394</v>
      </c>
      <c r="H92" s="1" t="s">
        <v>1395</v>
      </c>
    </row>
    <row r="93" spans="2:8">
      <c r="B93" s="3"/>
      <c r="E93" s="4"/>
      <c r="G93" s="1" t="s">
        <v>1396</v>
      </c>
      <c r="H93" s="1" t="s">
        <v>1397</v>
      </c>
    </row>
    <row r="94" spans="2:8">
      <c r="B94" s="3"/>
      <c r="C94" s="1" t="s">
        <v>537</v>
      </c>
      <c r="D94" s="1" t="s">
        <v>1398</v>
      </c>
      <c r="E94" s="4"/>
      <c r="G94" s="1" t="s">
        <v>1399</v>
      </c>
      <c r="H94" s="1" t="s">
        <v>1400</v>
      </c>
    </row>
    <row r="95" spans="2:8">
      <c r="B95" s="3"/>
      <c r="C95" s="1" t="s">
        <v>524</v>
      </c>
      <c r="D95" s="1" t="s">
        <v>1401</v>
      </c>
      <c r="G95" s="1" t="s">
        <v>1402</v>
      </c>
      <c r="H95" s="1" t="s">
        <v>1403</v>
      </c>
    </row>
    <row r="96" spans="2:8">
      <c r="B96" s="3"/>
      <c r="G96" s="1" t="s">
        <v>1404</v>
      </c>
      <c r="H96" s="1" t="s">
        <v>1405</v>
      </c>
    </row>
    <row r="97" spans="2:8">
      <c r="B97" s="3"/>
      <c r="G97" s="1" t="s">
        <v>1406</v>
      </c>
      <c r="H97" s="1" t="s">
        <v>1407</v>
      </c>
    </row>
    <row r="98" spans="2:8">
      <c r="B98" s="3"/>
      <c r="C98" s="1" t="s">
        <v>941</v>
      </c>
      <c r="D98" s="1" t="s">
        <v>1408</v>
      </c>
      <c r="G98" s="1" t="s">
        <v>1409</v>
      </c>
      <c r="H98" s="1" t="s">
        <v>1410</v>
      </c>
    </row>
    <row r="99" spans="2:8">
      <c r="B99" s="3"/>
      <c r="C99" s="1" t="s">
        <v>1411</v>
      </c>
      <c r="D99" s="1" t="s">
        <v>1412</v>
      </c>
      <c r="G99" s="1" t="s">
        <v>1413</v>
      </c>
      <c r="H99" s="1" t="s">
        <v>1414</v>
      </c>
    </row>
    <row r="100" spans="2:8">
      <c r="B100" s="3"/>
      <c r="C100" s="1" t="s">
        <v>1415</v>
      </c>
      <c r="G100" s="1" t="s">
        <v>1416</v>
      </c>
      <c r="H100" s="1" t="s">
        <v>1417</v>
      </c>
    </row>
    <row r="101" spans="2:8">
      <c r="B101" s="3"/>
      <c r="E101" s="5"/>
      <c r="G101" s="1" t="s">
        <v>1418</v>
      </c>
      <c r="H101" s="1" t="s">
        <v>1419</v>
      </c>
    </row>
    <row r="102" spans="2:8">
      <c r="E102" s="4"/>
      <c r="G102" s="1" t="s">
        <v>1420</v>
      </c>
      <c r="H102" s="1" t="s">
        <v>1421</v>
      </c>
    </row>
    <row r="103" spans="2:8">
      <c r="E103" s="4"/>
      <c r="G103" s="1" t="s">
        <v>1422</v>
      </c>
      <c r="H103" s="1" t="s">
        <v>1423</v>
      </c>
    </row>
    <row r="104" spans="2:8">
      <c r="E104" s="4"/>
      <c r="G104" s="1" t="s">
        <v>1424</v>
      </c>
      <c r="H104" s="1" t="s">
        <v>1425</v>
      </c>
    </row>
    <row r="105" spans="2:8">
      <c r="E105" s="4"/>
      <c r="G105" s="1" t="s">
        <v>1426</v>
      </c>
      <c r="H105" s="1" t="s">
        <v>1427</v>
      </c>
    </row>
    <row r="106" spans="2:8">
      <c r="E106" s="4"/>
      <c r="G106" s="1" t="s">
        <v>666</v>
      </c>
      <c r="H106" s="1" t="s">
        <v>1428</v>
      </c>
    </row>
    <row r="107" spans="2:8">
      <c r="G107" s="1" t="s">
        <v>1429</v>
      </c>
      <c r="H107" s="1" t="s">
        <v>1430</v>
      </c>
    </row>
    <row r="108" spans="2:8">
      <c r="G108" s="1" t="s">
        <v>1431</v>
      </c>
      <c r="H108" s="1" t="s">
        <v>1432</v>
      </c>
    </row>
    <row r="109" spans="2:8">
      <c r="G109" s="1" t="s">
        <v>1433</v>
      </c>
      <c r="H109" s="1" t="s">
        <v>1434</v>
      </c>
    </row>
    <row r="110" spans="2:8">
      <c r="G110" s="1" t="s">
        <v>1435</v>
      </c>
      <c r="H110" s="1" t="s">
        <v>1436</v>
      </c>
    </row>
    <row r="111" spans="2:8">
      <c r="G111" s="1" t="s">
        <v>1437</v>
      </c>
      <c r="H111" s="1" t="s">
        <v>1438</v>
      </c>
    </row>
    <row r="112" spans="2:8">
      <c r="G112" s="1" t="s">
        <v>1439</v>
      </c>
      <c r="H112" s="1" t="s">
        <v>1440</v>
      </c>
    </row>
    <row r="113" spans="7:8">
      <c r="G113" s="1" t="s">
        <v>1441</v>
      </c>
      <c r="H113" s="1" t="s">
        <v>1442</v>
      </c>
    </row>
    <row r="114" spans="7:8">
      <c r="G114" s="1" t="s">
        <v>1443</v>
      </c>
    </row>
    <row r="115" spans="7:8">
      <c r="G115" s="1" t="s">
        <v>1444</v>
      </c>
      <c r="H115" s="1" t="s">
        <v>1445</v>
      </c>
    </row>
    <row r="116" spans="7:8">
      <c r="G116" s="1" t="s">
        <v>1446</v>
      </c>
      <c r="H116" s="1" t="s">
        <v>1447</v>
      </c>
    </row>
    <row r="117" spans="7:8">
      <c r="G117" s="1" t="s">
        <v>1448</v>
      </c>
    </row>
    <row r="118" spans="7:8">
      <c r="G118" s="1" t="s">
        <v>1449</v>
      </c>
      <c r="H118" s="1" t="s">
        <v>1450</v>
      </c>
    </row>
    <row r="119" spans="7:8">
      <c r="G119" s="1" t="s">
        <v>1451</v>
      </c>
      <c r="H119" s="1" t="s">
        <v>1452</v>
      </c>
    </row>
    <row r="120" spans="7:8">
      <c r="G120" s="1" t="s">
        <v>1453</v>
      </c>
      <c r="H120" s="1" t="s">
        <v>1454</v>
      </c>
    </row>
    <row r="122" spans="7:8">
      <c r="G122" s="1" t="s">
        <v>1455</v>
      </c>
      <c r="H122" s="1" t="s">
        <v>1456</v>
      </c>
    </row>
    <row r="123" spans="7:8">
      <c r="G123" s="1" t="s">
        <v>1457</v>
      </c>
      <c r="H123" s="1" t="s">
        <v>1458</v>
      </c>
    </row>
    <row r="124" spans="7:8">
      <c r="G124" s="1" t="s">
        <v>1378</v>
      </c>
      <c r="H124" s="1" t="s">
        <v>1459</v>
      </c>
    </row>
  </sheetData>
  <mergeCells count="12">
    <mergeCell ref="A2:A11"/>
    <mergeCell ref="A12:A21"/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8:P16"/>
  <sheetViews>
    <sheetView workbookViewId="0">
      <selection activeCell="J63" sqref="J63"/>
    </sheetView>
  </sheetViews>
  <sheetFormatPr defaultColWidth="9" defaultRowHeight="13.5"/>
  <sheetData>
    <row r="8" spans="8:16">
      <c r="O8" t="s">
        <v>1460</v>
      </c>
    </row>
    <row r="10" spans="8:16">
      <c r="H10" t="s">
        <v>1461</v>
      </c>
      <c r="O10" t="s">
        <v>1462</v>
      </c>
    </row>
    <row r="11" spans="8:16">
      <c r="O11" t="s">
        <v>1463</v>
      </c>
      <c r="P11" t="s">
        <v>1464</v>
      </c>
    </row>
    <row r="12" spans="8:16">
      <c r="H12" t="s">
        <v>1463</v>
      </c>
      <c r="I12" t="s">
        <v>1072</v>
      </c>
      <c r="J12" t="s">
        <v>1465</v>
      </c>
      <c r="K12" t="s">
        <v>1466</v>
      </c>
      <c r="O12" t="s">
        <v>1467</v>
      </c>
      <c r="P12" t="s">
        <v>1468</v>
      </c>
    </row>
    <row r="13" spans="8:16">
      <c r="H13" t="s">
        <v>1467</v>
      </c>
      <c r="I13" t="s">
        <v>1469</v>
      </c>
      <c r="J13" t="s">
        <v>1470</v>
      </c>
      <c r="K13" t="s">
        <v>1471</v>
      </c>
      <c r="O13" t="s">
        <v>1472</v>
      </c>
      <c r="P13" t="s">
        <v>1473</v>
      </c>
    </row>
    <row r="14" spans="8:16">
      <c r="H14" t="s">
        <v>1472</v>
      </c>
      <c r="I14" t="s">
        <v>1474</v>
      </c>
      <c r="J14" t="s">
        <v>1475</v>
      </c>
      <c r="K14" t="s">
        <v>1476</v>
      </c>
      <c r="O14" t="s">
        <v>1477</v>
      </c>
      <c r="P14" t="s">
        <v>1478</v>
      </c>
    </row>
    <row r="15" spans="8:16">
      <c r="H15" t="s">
        <v>1477</v>
      </c>
      <c r="I15" t="s">
        <v>1479</v>
      </c>
      <c r="J15" t="s">
        <v>747</v>
      </c>
      <c r="K15" t="s">
        <v>1480</v>
      </c>
      <c r="O15" t="s">
        <v>1481</v>
      </c>
      <c r="P15" t="s">
        <v>1482</v>
      </c>
    </row>
    <row r="16" spans="8:16">
      <c r="H16" t="s">
        <v>1481</v>
      </c>
      <c r="I16" t="s">
        <v>1483</v>
      </c>
      <c r="J16" t="s">
        <v>1484</v>
      </c>
      <c r="K16" t="s">
        <v>1485</v>
      </c>
      <c r="O16" t="s">
        <v>1486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4:R53"/>
  <sheetViews>
    <sheetView topLeftCell="A4" workbookViewId="0">
      <selection activeCell="T13" sqref="T13"/>
    </sheetView>
  </sheetViews>
  <sheetFormatPr defaultColWidth="9" defaultRowHeight="13.5"/>
  <sheetData>
    <row r="4" spans="10:18">
      <c r="R4" t="s">
        <v>1487</v>
      </c>
    </row>
    <row r="5" spans="10:18">
      <c r="J5" t="s">
        <v>1488</v>
      </c>
      <c r="R5" t="s">
        <v>1489</v>
      </c>
    </row>
    <row r="6" spans="10:18">
      <c r="J6" t="s">
        <v>1490</v>
      </c>
      <c r="K6" t="s">
        <v>1491</v>
      </c>
      <c r="R6" t="s">
        <v>1492</v>
      </c>
    </row>
    <row r="7" spans="10:18">
      <c r="J7" t="s">
        <v>1493</v>
      </c>
      <c r="K7" t="s">
        <v>1494</v>
      </c>
    </row>
    <row r="8" spans="10:18">
      <c r="J8" t="s">
        <v>1495</v>
      </c>
      <c r="K8" t="s">
        <v>1496</v>
      </c>
    </row>
    <row r="9" spans="10:18">
      <c r="J9" t="s">
        <v>1497</v>
      </c>
      <c r="K9">
        <v>0</v>
      </c>
    </row>
    <row r="17" spans="10:12">
      <c r="J17" t="s">
        <v>1498</v>
      </c>
    </row>
    <row r="19" spans="10:12">
      <c r="J19" t="s">
        <v>1499</v>
      </c>
    </row>
    <row r="20" spans="10:12">
      <c r="J20" t="s">
        <v>132</v>
      </c>
      <c r="K20" t="s">
        <v>322</v>
      </c>
      <c r="L20" t="s">
        <v>1500</v>
      </c>
    </row>
    <row r="21" spans="10:12">
      <c r="J21" t="s">
        <v>159</v>
      </c>
      <c r="K21">
        <v>0.4</v>
      </c>
      <c r="L21">
        <v>0.24</v>
      </c>
    </row>
    <row r="22" spans="10:12">
      <c r="J22" t="s">
        <v>1501</v>
      </c>
      <c r="K22">
        <v>0.3</v>
      </c>
      <c r="L22">
        <v>0.18</v>
      </c>
    </row>
    <row r="23" spans="10:12">
      <c r="J23" t="s">
        <v>1502</v>
      </c>
      <c r="K23">
        <v>0.2</v>
      </c>
      <c r="L23">
        <v>0.12</v>
      </c>
    </row>
    <row r="24" spans="10:12">
      <c r="J24" t="s">
        <v>1503</v>
      </c>
      <c r="K24">
        <v>0.1</v>
      </c>
      <c r="L24">
        <v>0.06</v>
      </c>
    </row>
    <row r="25" spans="10:12">
      <c r="J25" t="s">
        <v>1504</v>
      </c>
      <c r="K25">
        <v>1</v>
      </c>
      <c r="L25">
        <v>0.6</v>
      </c>
    </row>
    <row r="26" spans="10:12">
      <c r="J26" t="s">
        <v>1505</v>
      </c>
    </row>
    <row r="29" spans="10:12">
      <c r="J29" t="s">
        <v>1506</v>
      </c>
    </row>
    <row r="31" spans="10:12">
      <c r="J31" t="s">
        <v>1507</v>
      </c>
    </row>
    <row r="32" spans="10:12">
      <c r="J32" t="s">
        <v>132</v>
      </c>
      <c r="K32" t="s">
        <v>322</v>
      </c>
      <c r="L32" t="s">
        <v>1500</v>
      </c>
    </row>
    <row r="33" spans="10:12">
      <c r="J33" t="s">
        <v>1508</v>
      </c>
      <c r="K33">
        <v>0.4</v>
      </c>
      <c r="L33">
        <v>0.2</v>
      </c>
    </row>
    <row r="34" spans="10:12">
      <c r="J34" t="s">
        <v>1509</v>
      </c>
      <c r="K34">
        <v>0.3</v>
      </c>
      <c r="L34">
        <v>0.15</v>
      </c>
    </row>
    <row r="35" spans="10:12">
      <c r="J35" t="s">
        <v>1510</v>
      </c>
      <c r="K35">
        <v>0.2</v>
      </c>
      <c r="L35">
        <v>0.1</v>
      </c>
    </row>
    <row r="36" spans="10:12">
      <c r="J36" t="s">
        <v>1511</v>
      </c>
      <c r="K36">
        <v>0.1</v>
      </c>
      <c r="L36">
        <v>0.05</v>
      </c>
    </row>
    <row r="37" spans="10:12">
      <c r="J37" t="s">
        <v>1504</v>
      </c>
      <c r="K37">
        <v>1</v>
      </c>
      <c r="L37">
        <v>0.5</v>
      </c>
    </row>
    <row r="38" spans="10:12">
      <c r="J38" t="s">
        <v>1512</v>
      </c>
    </row>
    <row r="41" spans="10:12">
      <c r="J41" t="s">
        <v>1513</v>
      </c>
    </row>
    <row r="43" spans="10:12">
      <c r="J43" t="s">
        <v>1514</v>
      </c>
    </row>
    <row r="44" spans="10:12">
      <c r="J44" t="s">
        <v>1515</v>
      </c>
    </row>
    <row r="46" spans="10:12">
      <c r="J46" t="s">
        <v>132</v>
      </c>
      <c r="K46" t="s">
        <v>322</v>
      </c>
      <c r="L46" t="s">
        <v>128</v>
      </c>
    </row>
    <row r="47" spans="10:12">
      <c r="J47" t="s">
        <v>1516</v>
      </c>
      <c r="K47">
        <v>0.3</v>
      </c>
      <c r="L47" t="s">
        <v>1517</v>
      </c>
    </row>
    <row r="48" spans="10:12">
      <c r="J48" t="s">
        <v>1518</v>
      </c>
      <c r="K48">
        <v>0.2</v>
      </c>
      <c r="L48" t="s">
        <v>1519</v>
      </c>
    </row>
    <row r="49" spans="10:12">
      <c r="J49" t="s">
        <v>1520</v>
      </c>
      <c r="K49">
        <v>0.25</v>
      </c>
      <c r="L49" t="s">
        <v>1521</v>
      </c>
    </row>
    <row r="50" spans="10:12">
      <c r="J50" t="s">
        <v>336</v>
      </c>
      <c r="K50">
        <v>0.15</v>
      </c>
      <c r="L50" t="s">
        <v>1522</v>
      </c>
    </row>
    <row r="51" spans="10:12">
      <c r="J51" t="s">
        <v>331</v>
      </c>
      <c r="K51">
        <v>0.1</v>
      </c>
      <c r="L51" t="s">
        <v>1523</v>
      </c>
    </row>
    <row r="52" spans="10:12">
      <c r="J52" t="s">
        <v>161</v>
      </c>
      <c r="K52" t="s">
        <v>1524</v>
      </c>
      <c r="L52" t="s">
        <v>1525</v>
      </c>
    </row>
    <row r="53" spans="10:12">
      <c r="J53" t="s">
        <v>1526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600"/>
  <sheetViews>
    <sheetView workbookViewId="0">
      <selection activeCell="B47" sqref="$A1:$XFD1048576"/>
    </sheetView>
  </sheetViews>
  <sheetFormatPr defaultColWidth="9" defaultRowHeight="13.5" outlineLevelCol="6"/>
  <sheetData>
    <row r="1" spans="2:7">
      <c r="B1" t="s">
        <v>1527</v>
      </c>
    </row>
    <row r="4" spans="2:7">
      <c r="G4" t="s">
        <v>1528</v>
      </c>
    </row>
    <row r="6" spans="2:7">
      <c r="G6" t="s">
        <v>1529</v>
      </c>
    </row>
    <row r="8" spans="2:7">
      <c r="G8" t="s">
        <v>1530</v>
      </c>
    </row>
    <row r="10" spans="2:7">
      <c r="G10" t="s">
        <v>1531</v>
      </c>
    </row>
    <row r="11" spans="2:7">
      <c r="G11" t="s">
        <v>1532</v>
      </c>
    </row>
    <row r="12" spans="2:7">
      <c r="G12" t="s">
        <v>1533</v>
      </c>
    </row>
    <row r="13" spans="2:7">
      <c r="G13" t="s">
        <v>1534</v>
      </c>
    </row>
    <row r="14" spans="2:7">
      <c r="G14" t="s">
        <v>1535</v>
      </c>
    </row>
    <row r="15" spans="2:7">
      <c r="G15" t="s">
        <v>1536</v>
      </c>
    </row>
    <row r="16" spans="2:7">
      <c r="G16" t="s">
        <v>1537</v>
      </c>
    </row>
    <row r="17" spans="7:7">
      <c r="G17" t="s">
        <v>1538</v>
      </c>
    </row>
    <row r="19" spans="7:7">
      <c r="G19" t="s">
        <v>1529</v>
      </c>
    </row>
    <row r="21" spans="7:7">
      <c r="G21" t="s">
        <v>1539</v>
      </c>
    </row>
    <row r="23" spans="7:7">
      <c r="G23" t="s">
        <v>1540</v>
      </c>
    </row>
    <row r="25" spans="7:7">
      <c r="G25" t="s">
        <v>1541</v>
      </c>
    </row>
    <row r="26" spans="7:7">
      <c r="G26" t="s">
        <v>1542</v>
      </c>
    </row>
    <row r="27" spans="7:7">
      <c r="G27" t="s">
        <v>1543</v>
      </c>
    </row>
    <row r="28" spans="7:7">
      <c r="G28" t="s">
        <v>1544</v>
      </c>
    </row>
    <row r="29" spans="7:7">
      <c r="G29" t="s">
        <v>1545</v>
      </c>
    </row>
    <row r="30" spans="7:7">
      <c r="G30" t="s">
        <v>1546</v>
      </c>
    </row>
    <row r="31" spans="7:7">
      <c r="G31" t="s">
        <v>1547</v>
      </c>
    </row>
    <row r="32" spans="7:7">
      <c r="G32" t="s">
        <v>1548</v>
      </c>
    </row>
    <row r="34" spans="7:7">
      <c r="G34" t="s">
        <v>1549</v>
      </c>
    </row>
    <row r="36" spans="7:7">
      <c r="G36" t="s">
        <v>1541</v>
      </c>
    </row>
    <row r="37" spans="7:7">
      <c r="G37" t="s">
        <v>1542</v>
      </c>
    </row>
    <row r="38" spans="7:7">
      <c r="G38" t="s">
        <v>1550</v>
      </c>
    </row>
    <row r="39" spans="7:7">
      <c r="G39" t="s">
        <v>1544</v>
      </c>
    </row>
    <row r="40" spans="7:7">
      <c r="G40" t="s">
        <v>1551</v>
      </c>
    </row>
    <row r="41" spans="7:7">
      <c r="G41" t="s">
        <v>1546</v>
      </c>
    </row>
    <row r="42" spans="7:7">
      <c r="G42" t="s">
        <v>1552</v>
      </c>
    </row>
    <row r="43" spans="7:7">
      <c r="G43" t="s">
        <v>1553</v>
      </c>
    </row>
    <row r="45" spans="7:7">
      <c r="G45" t="s">
        <v>1554</v>
      </c>
    </row>
    <row r="47" spans="7:7">
      <c r="G47" t="s">
        <v>1555</v>
      </c>
    </row>
    <row r="48" spans="7:7">
      <c r="G48" t="s">
        <v>1532</v>
      </c>
    </row>
    <row r="49" spans="7:7">
      <c r="G49" t="s">
        <v>1556</v>
      </c>
    </row>
    <row r="50" spans="7:7">
      <c r="G50" t="s">
        <v>1557</v>
      </c>
    </row>
    <row r="51" spans="7:7">
      <c r="G51" t="s">
        <v>1558</v>
      </c>
    </row>
    <row r="52" spans="7:7">
      <c r="G52" t="s">
        <v>1559</v>
      </c>
    </row>
    <row r="53" spans="7:7">
      <c r="G53" t="s">
        <v>1560</v>
      </c>
    </row>
    <row r="55" spans="7:7">
      <c r="G55" t="s">
        <v>1561</v>
      </c>
    </row>
    <row r="57" spans="7:7">
      <c r="G57" t="s">
        <v>1562</v>
      </c>
    </row>
    <row r="58" spans="7:7">
      <c r="G58" t="s">
        <v>1563</v>
      </c>
    </row>
    <row r="59" spans="7:7">
      <c r="G59" t="s">
        <v>1564</v>
      </c>
    </row>
    <row r="60" spans="7:7">
      <c r="G60" t="s">
        <v>1565</v>
      </c>
    </row>
    <row r="61" spans="7:7">
      <c r="G61" t="s">
        <v>1566</v>
      </c>
    </row>
    <row r="63" spans="7:7">
      <c r="G63" t="s">
        <v>1529</v>
      </c>
    </row>
    <row r="65" spans="7:7">
      <c r="G65" t="s">
        <v>1567</v>
      </c>
    </row>
    <row r="67" spans="7:7">
      <c r="G67" t="s">
        <v>1568</v>
      </c>
    </row>
    <row r="69" spans="7:7">
      <c r="G69" t="s">
        <v>1569</v>
      </c>
    </row>
    <row r="70" spans="7:7">
      <c r="G70" t="s">
        <v>1570</v>
      </c>
    </row>
    <row r="71" spans="7:7">
      <c r="G71" t="s">
        <v>1571</v>
      </c>
    </row>
    <row r="72" spans="7:7">
      <c r="G72" t="s">
        <v>1572</v>
      </c>
    </row>
    <row r="73" spans="7:7">
      <c r="G73" t="s">
        <v>1573</v>
      </c>
    </row>
    <row r="74" spans="7:7">
      <c r="G74" t="s">
        <v>1574</v>
      </c>
    </row>
    <row r="75" spans="7:7">
      <c r="G75" t="s">
        <v>1575</v>
      </c>
    </row>
    <row r="77" spans="7:7">
      <c r="G77" t="s">
        <v>1576</v>
      </c>
    </row>
    <row r="79" spans="7:7">
      <c r="G79" t="s">
        <v>1577</v>
      </c>
    </row>
    <row r="81" spans="7:7">
      <c r="G81" t="s">
        <v>1569</v>
      </c>
    </row>
    <row r="82" spans="7:7">
      <c r="G82" t="s">
        <v>1570</v>
      </c>
    </row>
    <row r="83" spans="7:7">
      <c r="G83" t="s">
        <v>1578</v>
      </c>
    </row>
    <row r="84" spans="7:7">
      <c r="G84" t="s">
        <v>1579</v>
      </c>
    </row>
    <row r="85" spans="7:7">
      <c r="G85" t="s">
        <v>1580</v>
      </c>
    </row>
    <row r="86" spans="7:7">
      <c r="G86" t="s">
        <v>1581</v>
      </c>
    </row>
    <row r="88" spans="7:7">
      <c r="G88" t="s">
        <v>1582</v>
      </c>
    </row>
    <row r="90" spans="7:7">
      <c r="G90" t="s">
        <v>1529</v>
      </c>
    </row>
    <row r="92" spans="7:7">
      <c r="G92" t="s">
        <v>1583</v>
      </c>
    </row>
    <row r="94" spans="7:7">
      <c r="G94" t="s">
        <v>1584</v>
      </c>
    </row>
    <row r="96" spans="7:7">
      <c r="G96" t="s">
        <v>1585</v>
      </c>
    </row>
    <row r="97" spans="7:7">
      <c r="G97" t="s">
        <v>1532</v>
      </c>
    </row>
    <row r="98" spans="7:7">
      <c r="G98" t="s">
        <v>1586</v>
      </c>
    </row>
    <row r="99" spans="7:7">
      <c r="G99" t="s">
        <v>1587</v>
      </c>
    </row>
    <row r="100" spans="7:7">
      <c r="G100" t="s">
        <v>1588</v>
      </c>
    </row>
    <row r="101" spans="7:7">
      <c r="G101" t="s">
        <v>1589</v>
      </c>
    </row>
    <row r="103" spans="7:7">
      <c r="G103" t="s">
        <v>1590</v>
      </c>
    </row>
    <row r="105" spans="7:7">
      <c r="G105" t="s">
        <v>1591</v>
      </c>
    </row>
    <row r="106" spans="7:7">
      <c r="G106" t="s">
        <v>1570</v>
      </c>
    </row>
    <row r="107" spans="7:7">
      <c r="G107" t="s">
        <v>1592</v>
      </c>
    </row>
    <row r="108" spans="7:7">
      <c r="G108" t="s">
        <v>1593</v>
      </c>
    </row>
    <row r="109" spans="7:7">
      <c r="G109" t="s">
        <v>1594</v>
      </c>
    </row>
    <row r="110" spans="7:7">
      <c r="G110" t="s">
        <v>1595</v>
      </c>
    </row>
    <row r="112" spans="7:7">
      <c r="G112" t="s">
        <v>1596</v>
      </c>
    </row>
    <row r="114" spans="7:7">
      <c r="G114" t="s">
        <v>1597</v>
      </c>
    </row>
    <row r="116" spans="7:7">
      <c r="G116" t="s">
        <v>1591</v>
      </c>
    </row>
    <row r="117" spans="7:7">
      <c r="G117" t="s">
        <v>1570</v>
      </c>
    </row>
    <row r="118" spans="7:7">
      <c r="G118" t="s">
        <v>1598</v>
      </c>
    </row>
    <row r="119" spans="7:7">
      <c r="G119" t="s">
        <v>1599</v>
      </c>
    </row>
    <row r="120" spans="7:7">
      <c r="G120" t="s">
        <v>1600</v>
      </c>
    </row>
    <row r="121" spans="7:7">
      <c r="G121" t="s">
        <v>1601</v>
      </c>
    </row>
    <row r="123" spans="7:7">
      <c r="G123" t="s">
        <v>1602</v>
      </c>
    </row>
    <row r="125" spans="7:7">
      <c r="G125" t="s">
        <v>1603</v>
      </c>
    </row>
    <row r="127" spans="7:7">
      <c r="G127" t="s">
        <v>1604</v>
      </c>
    </row>
    <row r="128" spans="7:7">
      <c r="G128" t="s">
        <v>1605</v>
      </c>
    </row>
    <row r="129" spans="7:7">
      <c r="G129" t="s">
        <v>1606</v>
      </c>
    </row>
    <row r="130" spans="7:7">
      <c r="G130" t="s">
        <v>1607</v>
      </c>
    </row>
    <row r="131" spans="7:7">
      <c r="G131" t="s">
        <v>1608</v>
      </c>
    </row>
    <row r="133" spans="7:7">
      <c r="G133" t="s">
        <v>1529</v>
      </c>
    </row>
    <row r="135" spans="7:7">
      <c r="G135" t="s">
        <v>1609</v>
      </c>
    </row>
    <row r="137" spans="7:7">
      <c r="G137" t="s">
        <v>1610</v>
      </c>
    </row>
    <row r="138" spans="7:7">
      <c r="G138" t="s">
        <v>1611</v>
      </c>
    </row>
    <row r="139" spans="7:7">
      <c r="G139" t="s">
        <v>1612</v>
      </c>
    </row>
    <row r="140" spans="7:7">
      <c r="G140" t="s">
        <v>1613</v>
      </c>
    </row>
    <row r="141" spans="7:7">
      <c r="G141" t="s">
        <v>1614</v>
      </c>
    </row>
    <row r="142" spans="7:7">
      <c r="G142" t="s">
        <v>1615</v>
      </c>
    </row>
    <row r="143" spans="7:7">
      <c r="G143" t="s">
        <v>1616</v>
      </c>
    </row>
    <row r="145" spans="7:7">
      <c r="G145" t="s">
        <v>1617</v>
      </c>
    </row>
    <row r="147" spans="7:7">
      <c r="G147" t="s">
        <v>1618</v>
      </c>
    </row>
    <row r="149" spans="7:7">
      <c r="G149" t="s">
        <v>1619</v>
      </c>
    </row>
    <row r="150" spans="7:7">
      <c r="G150" t="s">
        <v>1570</v>
      </c>
    </row>
    <row r="151" spans="7:7">
      <c r="G151" t="s">
        <v>1620</v>
      </c>
    </row>
    <row r="152" spans="7:7">
      <c r="G152" t="s">
        <v>1621</v>
      </c>
    </row>
    <row r="153" spans="7:7">
      <c r="G153" t="s">
        <v>1622</v>
      </c>
    </row>
    <row r="154" spans="7:7">
      <c r="G154" t="s">
        <v>1623</v>
      </c>
    </row>
    <row r="155" spans="7:7">
      <c r="G155" t="s">
        <v>1624</v>
      </c>
    </row>
    <row r="157" spans="7:7">
      <c r="G157" t="s">
        <v>1529</v>
      </c>
    </row>
    <row r="159" spans="7:7">
      <c r="G159" t="s">
        <v>1625</v>
      </c>
    </row>
    <row r="161" spans="7:7">
      <c r="G161" t="s">
        <v>1626</v>
      </c>
    </row>
    <row r="163" spans="7:7">
      <c r="G163" t="s">
        <v>1627</v>
      </c>
    </row>
    <row r="164" spans="7:7">
      <c r="G164" t="s">
        <v>1628</v>
      </c>
    </row>
    <row r="165" spans="7:7">
      <c r="G165" t="s">
        <v>1629</v>
      </c>
    </row>
    <row r="166" spans="7:7">
      <c r="G166" t="s">
        <v>1630</v>
      </c>
    </row>
    <row r="167" spans="7:7">
      <c r="G167" t="s">
        <v>1631</v>
      </c>
    </row>
    <row r="168" spans="7:7">
      <c r="G168" t="s">
        <v>1632</v>
      </c>
    </row>
    <row r="169" spans="7:7">
      <c r="G169" t="s">
        <v>1633</v>
      </c>
    </row>
    <row r="171" spans="7:7">
      <c r="G171" t="s">
        <v>1529</v>
      </c>
    </row>
    <row r="173" spans="7:7">
      <c r="G173" t="s">
        <v>1634</v>
      </c>
    </row>
    <row r="175" spans="7:7">
      <c r="G175" t="s">
        <v>1635</v>
      </c>
    </row>
    <row r="177" spans="7:7">
      <c r="G177" t="s">
        <v>1636</v>
      </c>
    </row>
    <row r="178" spans="7:7">
      <c r="G178" t="s">
        <v>1637</v>
      </c>
    </row>
    <row r="179" spans="7:7">
      <c r="G179" t="s">
        <v>1638</v>
      </c>
    </row>
    <row r="180" spans="7:7">
      <c r="G180" t="s">
        <v>1639</v>
      </c>
    </row>
    <row r="181" spans="7:7">
      <c r="G181" t="s">
        <v>1640</v>
      </c>
    </row>
    <row r="182" spans="7:7">
      <c r="G182" t="s">
        <v>1641</v>
      </c>
    </row>
    <row r="183" spans="7:7">
      <c r="G183" t="s">
        <v>1642</v>
      </c>
    </row>
    <row r="185" spans="7:7">
      <c r="G185" t="s">
        <v>1643</v>
      </c>
    </row>
    <row r="187" spans="7:7">
      <c r="G187" t="s">
        <v>1644</v>
      </c>
    </row>
    <row r="189" spans="7:7">
      <c r="G189" t="s">
        <v>1529</v>
      </c>
    </row>
    <row r="191" spans="7:7">
      <c r="G191" t="s">
        <v>1645</v>
      </c>
    </row>
    <row r="193" spans="7:7">
      <c r="G193" t="s">
        <v>1646</v>
      </c>
    </row>
    <row r="195" spans="7:7">
      <c r="G195" t="s">
        <v>1647</v>
      </c>
    </row>
    <row r="196" spans="7:7">
      <c r="G196" t="s">
        <v>1637</v>
      </c>
    </row>
    <row r="197" spans="7:7">
      <c r="G197" t="s">
        <v>1648</v>
      </c>
    </row>
    <row r="198" spans="7:7">
      <c r="G198" t="s">
        <v>1649</v>
      </c>
    </row>
    <row r="199" spans="7:7">
      <c r="G199" t="s">
        <v>1650</v>
      </c>
    </row>
    <row r="200" spans="7:7">
      <c r="G200" t="s">
        <v>1651</v>
      </c>
    </row>
    <row r="201" spans="7:7">
      <c r="G201" t="s">
        <v>1652</v>
      </c>
    </row>
    <row r="203" spans="7:7">
      <c r="G203" t="s">
        <v>1653</v>
      </c>
    </row>
    <row r="205" spans="7:7">
      <c r="G205" t="s">
        <v>1654</v>
      </c>
    </row>
    <row r="207" spans="7:7">
      <c r="G207" t="s">
        <v>1529</v>
      </c>
    </row>
    <row r="209" spans="7:7">
      <c r="G209" t="s">
        <v>1655</v>
      </c>
    </row>
    <row r="211" spans="7:7">
      <c r="G211" t="s">
        <v>1656</v>
      </c>
    </row>
    <row r="213" spans="7:7">
      <c r="G213" t="s">
        <v>1657</v>
      </c>
    </row>
    <row r="214" spans="7:7">
      <c r="G214" t="s">
        <v>1637</v>
      </c>
    </row>
    <row r="215" spans="7:7">
      <c r="G215" t="s">
        <v>1658</v>
      </c>
    </row>
    <row r="216" spans="7:7">
      <c r="G216" t="s">
        <v>1659</v>
      </c>
    </row>
    <row r="217" spans="7:7">
      <c r="G217" t="s">
        <v>1660</v>
      </c>
    </row>
    <row r="218" spans="7:7">
      <c r="G218" t="s">
        <v>1661</v>
      </c>
    </row>
    <row r="219" spans="7:7">
      <c r="G219" t="s">
        <v>1662</v>
      </c>
    </row>
    <row r="221" spans="7:7">
      <c r="G221" t="s">
        <v>1663</v>
      </c>
    </row>
    <row r="223" spans="7:7">
      <c r="G223" t="s">
        <v>1664</v>
      </c>
    </row>
    <row r="225" spans="7:7">
      <c r="G225" t="s">
        <v>1529</v>
      </c>
    </row>
    <row r="227" spans="7:7">
      <c r="G227" t="s">
        <v>1665</v>
      </c>
    </row>
    <row r="229" spans="7:7">
      <c r="G229" t="s">
        <v>1666</v>
      </c>
    </row>
    <row r="231" spans="7:7">
      <c r="G231" t="s">
        <v>1667</v>
      </c>
    </row>
    <row r="232" spans="7:7">
      <c r="G232" t="s">
        <v>1637</v>
      </c>
    </row>
    <row r="233" spans="7:7">
      <c r="G233" t="s">
        <v>1668</v>
      </c>
    </row>
    <row r="234" spans="7:7">
      <c r="G234" t="s">
        <v>1669</v>
      </c>
    </row>
    <row r="235" spans="7:7">
      <c r="G235" t="s">
        <v>1670</v>
      </c>
    </row>
    <row r="236" spans="7:7">
      <c r="G236" t="s">
        <v>1671</v>
      </c>
    </row>
    <row r="237" spans="7:7">
      <c r="G237" t="s">
        <v>1672</v>
      </c>
    </row>
    <row r="239" spans="7:7">
      <c r="G239" t="s">
        <v>1673</v>
      </c>
    </row>
    <row r="241" spans="7:7">
      <c r="G241" t="s">
        <v>1674</v>
      </c>
    </row>
    <row r="243" spans="7:7">
      <c r="G243" t="s">
        <v>1529</v>
      </c>
    </row>
    <row r="245" spans="7:7">
      <c r="G245" t="s">
        <v>1675</v>
      </c>
    </row>
    <row r="247" spans="7:7">
      <c r="G247" t="s">
        <v>1676</v>
      </c>
    </row>
    <row r="249" spans="7:7">
      <c r="G249" t="s">
        <v>1677</v>
      </c>
    </row>
    <row r="250" spans="7:7">
      <c r="G250" t="s">
        <v>1637</v>
      </c>
    </row>
    <row r="251" spans="7:7">
      <c r="G251" t="s">
        <v>1648</v>
      </c>
    </row>
    <row r="252" spans="7:7">
      <c r="G252" t="s">
        <v>1649</v>
      </c>
    </row>
    <row r="253" spans="7:7">
      <c r="G253" t="s">
        <v>1650</v>
      </c>
    </row>
    <row r="254" spans="7:7">
      <c r="G254" t="s">
        <v>1651</v>
      </c>
    </row>
    <row r="255" spans="7:7">
      <c r="G255" t="s">
        <v>1652</v>
      </c>
    </row>
    <row r="257" spans="7:7">
      <c r="G257" t="s">
        <v>1678</v>
      </c>
    </row>
    <row r="259" spans="7:7">
      <c r="G259" t="s">
        <v>1679</v>
      </c>
    </row>
    <row r="261" spans="7:7">
      <c r="G261" t="s">
        <v>1529</v>
      </c>
    </row>
    <row r="263" spans="7:7">
      <c r="G263" t="s">
        <v>1680</v>
      </c>
    </row>
    <row r="265" spans="7:7">
      <c r="G265" t="s">
        <v>1681</v>
      </c>
    </row>
    <row r="267" spans="7:7">
      <c r="G267" t="s">
        <v>1682</v>
      </c>
    </row>
    <row r="268" spans="7:7">
      <c r="G268" t="s">
        <v>1637</v>
      </c>
    </row>
    <row r="269" spans="7:7">
      <c r="G269" t="s">
        <v>1683</v>
      </c>
    </row>
    <row r="270" spans="7:7">
      <c r="G270" t="s">
        <v>1684</v>
      </c>
    </row>
    <row r="271" spans="7:7">
      <c r="G271" t="s">
        <v>1685</v>
      </c>
    </row>
    <row r="272" spans="7:7">
      <c r="G272" t="s">
        <v>1686</v>
      </c>
    </row>
    <row r="273" spans="7:7">
      <c r="G273" t="s">
        <v>1687</v>
      </c>
    </row>
    <row r="275" spans="7:7">
      <c r="G275" t="s">
        <v>1688</v>
      </c>
    </row>
    <row r="277" spans="7:7">
      <c r="G277" t="s">
        <v>1689</v>
      </c>
    </row>
    <row r="279" spans="7:7">
      <c r="G279" t="s">
        <v>1529</v>
      </c>
    </row>
    <row r="281" spans="7:7">
      <c r="G281" t="s">
        <v>1690</v>
      </c>
    </row>
    <row r="283" spans="7:7">
      <c r="G283" t="s">
        <v>1691</v>
      </c>
    </row>
    <row r="285" spans="7:7">
      <c r="G285" t="s">
        <v>1636</v>
      </c>
    </row>
    <row r="286" spans="7:7">
      <c r="G286" t="s">
        <v>1637</v>
      </c>
    </row>
    <row r="287" spans="7:7">
      <c r="G287" t="s">
        <v>1638</v>
      </c>
    </row>
    <row r="288" spans="7:7">
      <c r="G288" t="s">
        <v>1639</v>
      </c>
    </row>
    <row r="289" spans="7:7">
      <c r="G289" t="s">
        <v>1640</v>
      </c>
    </row>
    <row r="290" spans="7:7">
      <c r="G290" t="s">
        <v>1641</v>
      </c>
    </row>
    <row r="291" spans="7:7">
      <c r="G291" t="s">
        <v>1642</v>
      </c>
    </row>
    <row r="293" spans="7:7">
      <c r="G293" t="s">
        <v>1692</v>
      </c>
    </row>
    <row r="295" spans="7:7">
      <c r="G295" t="s">
        <v>1693</v>
      </c>
    </row>
    <row r="297" spans="7:7">
      <c r="G297" t="s">
        <v>1694</v>
      </c>
    </row>
    <row r="298" spans="7:7">
      <c r="G298" t="s">
        <v>1570</v>
      </c>
    </row>
    <row r="299" spans="7:7">
      <c r="G299" t="s">
        <v>1695</v>
      </c>
    </row>
    <row r="300" spans="7:7">
      <c r="G300" t="s">
        <v>1696</v>
      </c>
    </row>
    <row r="301" spans="7:7">
      <c r="G301" t="s">
        <v>1697</v>
      </c>
    </row>
    <row r="302" spans="7:7">
      <c r="G302" t="s">
        <v>1698</v>
      </c>
    </row>
    <row r="303" spans="7:7">
      <c r="G303" t="s">
        <v>1699</v>
      </c>
    </row>
    <row r="305" spans="7:7">
      <c r="G305" t="s">
        <v>1700</v>
      </c>
    </row>
    <row r="307" spans="7:7">
      <c r="G307" t="s">
        <v>1529</v>
      </c>
    </row>
    <row r="309" spans="7:7">
      <c r="G309" t="s">
        <v>1701</v>
      </c>
    </row>
    <row r="311" spans="7:7">
      <c r="G311" t="s">
        <v>1702</v>
      </c>
    </row>
    <row r="313" spans="7:7">
      <c r="G313" t="s">
        <v>1703</v>
      </c>
    </row>
    <row r="314" spans="7:7">
      <c r="G314" t="s">
        <v>1637</v>
      </c>
    </row>
    <row r="315" spans="7:7">
      <c r="G315" t="s">
        <v>1658</v>
      </c>
    </row>
    <row r="316" spans="7:7">
      <c r="G316" t="s">
        <v>1659</v>
      </c>
    </row>
    <row r="317" spans="7:7">
      <c r="G317" t="s">
        <v>1660</v>
      </c>
    </row>
    <row r="318" spans="7:7">
      <c r="G318" t="s">
        <v>1661</v>
      </c>
    </row>
    <row r="319" spans="7:7">
      <c r="G319" t="s">
        <v>1662</v>
      </c>
    </row>
    <row r="321" spans="7:7">
      <c r="G321" t="s">
        <v>1704</v>
      </c>
    </row>
    <row r="323" spans="7:7">
      <c r="G323" t="s">
        <v>1705</v>
      </c>
    </row>
    <row r="325" spans="7:7">
      <c r="G325" t="s">
        <v>1529</v>
      </c>
    </row>
    <row r="327" spans="7:7">
      <c r="G327" t="s">
        <v>1706</v>
      </c>
    </row>
    <row r="329" spans="7:7">
      <c r="G329" t="s">
        <v>1707</v>
      </c>
    </row>
    <row r="331" spans="7:7">
      <c r="G331" t="s">
        <v>1708</v>
      </c>
    </row>
    <row r="332" spans="7:7">
      <c r="G332" t="s">
        <v>1628</v>
      </c>
    </row>
    <row r="333" spans="7:7">
      <c r="G333" t="s">
        <v>1709</v>
      </c>
    </row>
    <row r="334" spans="7:7">
      <c r="G334" t="s">
        <v>1710</v>
      </c>
    </row>
    <row r="335" spans="7:7">
      <c r="G335" t="s">
        <v>1711</v>
      </c>
    </row>
    <row r="336" spans="7:7">
      <c r="G336" t="s">
        <v>1712</v>
      </c>
    </row>
    <row r="337" spans="7:7">
      <c r="G337" t="s">
        <v>1713</v>
      </c>
    </row>
    <row r="339" spans="7:7">
      <c r="G339" t="s">
        <v>1529</v>
      </c>
    </row>
    <row r="341" spans="7:7">
      <c r="G341" t="s">
        <v>1714</v>
      </c>
    </row>
    <row r="343" spans="7:7">
      <c r="G343" t="s">
        <v>1715</v>
      </c>
    </row>
    <row r="345" spans="7:7">
      <c r="G345" t="s">
        <v>1716</v>
      </c>
    </row>
    <row r="346" spans="7:7">
      <c r="G346" t="s">
        <v>1637</v>
      </c>
    </row>
    <row r="347" spans="7:7">
      <c r="G347" t="s">
        <v>1717</v>
      </c>
    </row>
    <row r="348" spans="7:7">
      <c r="G348" t="s">
        <v>1718</v>
      </c>
    </row>
    <row r="349" spans="7:7">
      <c r="G349" t="s">
        <v>1719</v>
      </c>
    </row>
    <row r="350" spans="7:7">
      <c r="G350" t="s">
        <v>1720</v>
      </c>
    </row>
    <row r="351" spans="7:7">
      <c r="G351" t="s">
        <v>1721</v>
      </c>
    </row>
    <row r="353" spans="7:7">
      <c r="G353" t="s">
        <v>1722</v>
      </c>
    </row>
    <row r="355" spans="7:7">
      <c r="G355" t="s">
        <v>1723</v>
      </c>
    </row>
    <row r="357" spans="7:7">
      <c r="G357" t="s">
        <v>1529</v>
      </c>
    </row>
    <row r="359" spans="7:7">
      <c r="G359" t="s">
        <v>1724</v>
      </c>
    </row>
    <row r="361" spans="7:7">
      <c r="G361" t="s">
        <v>1725</v>
      </c>
    </row>
    <row r="363" spans="7:7">
      <c r="G363" t="s">
        <v>1726</v>
      </c>
    </row>
    <row r="364" spans="7:7">
      <c r="G364" t="s">
        <v>1637</v>
      </c>
    </row>
    <row r="365" spans="7:7">
      <c r="G365" t="s">
        <v>1727</v>
      </c>
    </row>
    <row r="366" spans="7:7">
      <c r="G366" t="s">
        <v>1728</v>
      </c>
    </row>
    <row r="367" spans="7:7">
      <c r="G367" t="s">
        <v>1729</v>
      </c>
    </row>
    <row r="368" spans="7:7">
      <c r="G368" t="s">
        <v>1730</v>
      </c>
    </row>
    <row r="369" spans="7:7">
      <c r="G369" t="s">
        <v>1721</v>
      </c>
    </row>
    <row r="371" spans="7:7">
      <c r="G371" t="s">
        <v>1731</v>
      </c>
    </row>
    <row r="373" spans="7:7">
      <c r="G373" t="s">
        <v>1732</v>
      </c>
    </row>
    <row r="375" spans="7:7">
      <c r="G375" t="s">
        <v>1529</v>
      </c>
    </row>
    <row r="377" spans="7:7">
      <c r="G377" t="s">
        <v>1733</v>
      </c>
    </row>
    <row r="379" spans="7:7">
      <c r="G379" t="s">
        <v>1734</v>
      </c>
    </row>
    <row r="381" spans="7:7">
      <c r="G381" t="s">
        <v>1735</v>
      </c>
    </row>
    <row r="382" spans="7:7">
      <c r="G382" t="s">
        <v>1637</v>
      </c>
    </row>
    <row r="383" spans="7:7">
      <c r="G383" t="s">
        <v>1717</v>
      </c>
    </row>
    <row r="384" spans="7:7">
      <c r="G384" t="s">
        <v>1718</v>
      </c>
    </row>
    <row r="385" spans="7:7">
      <c r="G385" t="s">
        <v>1719</v>
      </c>
    </row>
    <row r="386" spans="7:7">
      <c r="G386" t="s">
        <v>1720</v>
      </c>
    </row>
    <row r="387" spans="7:7">
      <c r="G387" t="s">
        <v>1721</v>
      </c>
    </row>
    <row r="389" spans="7:7">
      <c r="G389" t="s">
        <v>1736</v>
      </c>
    </row>
    <row r="391" spans="7:7">
      <c r="G391" t="s">
        <v>1737</v>
      </c>
    </row>
    <row r="393" spans="7:7">
      <c r="G393" t="s">
        <v>1529</v>
      </c>
    </row>
    <row r="395" spans="7:7">
      <c r="G395" t="s">
        <v>1738</v>
      </c>
    </row>
    <row r="397" spans="7:7">
      <c r="G397" t="s">
        <v>1739</v>
      </c>
    </row>
    <row r="399" spans="7:7">
      <c r="G399" t="s">
        <v>1740</v>
      </c>
    </row>
    <row r="400" spans="7:7">
      <c r="G400" t="s">
        <v>1637</v>
      </c>
    </row>
    <row r="401" spans="7:7">
      <c r="G401" t="s">
        <v>1717</v>
      </c>
    </row>
    <row r="402" spans="7:7">
      <c r="G402" t="s">
        <v>1718</v>
      </c>
    </row>
    <row r="403" spans="7:7">
      <c r="G403" t="s">
        <v>1719</v>
      </c>
    </row>
    <row r="404" spans="7:7">
      <c r="G404" t="s">
        <v>1720</v>
      </c>
    </row>
    <row r="405" spans="7:7">
      <c r="G405" t="s">
        <v>1721</v>
      </c>
    </row>
    <row r="407" spans="7:7">
      <c r="G407" t="s">
        <v>1741</v>
      </c>
    </row>
    <row r="409" spans="7:7">
      <c r="G409" t="s">
        <v>1742</v>
      </c>
    </row>
    <row r="411" spans="7:7">
      <c r="G411" t="s">
        <v>1529</v>
      </c>
    </row>
    <row r="413" spans="7:7">
      <c r="G413" t="s">
        <v>1743</v>
      </c>
    </row>
    <row r="415" spans="7:7">
      <c r="G415" t="s">
        <v>1744</v>
      </c>
    </row>
    <row r="417" spans="7:7">
      <c r="G417" t="s">
        <v>1745</v>
      </c>
    </row>
    <row r="418" spans="7:7">
      <c r="G418" t="s">
        <v>1637</v>
      </c>
    </row>
    <row r="419" spans="7:7">
      <c r="G419" t="s">
        <v>1746</v>
      </c>
    </row>
    <row r="420" spans="7:7">
      <c r="G420" t="s">
        <v>1747</v>
      </c>
    </row>
    <row r="421" spans="7:7">
      <c r="G421" t="s">
        <v>1748</v>
      </c>
    </row>
    <row r="422" spans="7:7">
      <c r="G422" t="s">
        <v>1749</v>
      </c>
    </row>
    <row r="423" spans="7:7">
      <c r="G423" t="s">
        <v>1750</v>
      </c>
    </row>
    <row r="425" spans="7:7">
      <c r="G425" t="s">
        <v>1751</v>
      </c>
    </row>
    <row r="427" spans="7:7">
      <c r="G427" t="s">
        <v>1752</v>
      </c>
    </row>
    <row r="429" spans="7:7">
      <c r="G429" t="s">
        <v>1529</v>
      </c>
    </row>
    <row r="431" spans="7:7">
      <c r="G431" t="s">
        <v>1753</v>
      </c>
    </row>
    <row r="433" spans="7:7">
      <c r="G433" t="s">
        <v>1754</v>
      </c>
    </row>
    <row r="435" spans="7:7">
      <c r="G435" t="s">
        <v>1755</v>
      </c>
    </row>
    <row r="436" spans="7:7">
      <c r="G436" t="s">
        <v>1637</v>
      </c>
    </row>
    <row r="437" spans="7:7">
      <c r="G437" t="s">
        <v>1717</v>
      </c>
    </row>
    <row r="438" spans="7:7">
      <c r="G438" t="s">
        <v>1718</v>
      </c>
    </row>
    <row r="439" spans="7:7">
      <c r="G439" t="s">
        <v>1719</v>
      </c>
    </row>
    <row r="440" spans="7:7">
      <c r="G440" t="s">
        <v>1720</v>
      </c>
    </row>
    <row r="441" spans="7:7">
      <c r="G441" t="s">
        <v>1721</v>
      </c>
    </row>
    <row r="443" spans="7:7">
      <c r="G443" t="s">
        <v>1756</v>
      </c>
    </row>
    <row r="445" spans="7:7">
      <c r="G445" t="s">
        <v>1757</v>
      </c>
    </row>
    <row r="447" spans="7:7">
      <c r="G447" t="s">
        <v>1529</v>
      </c>
    </row>
    <row r="449" spans="7:7">
      <c r="G449" t="s">
        <v>1758</v>
      </c>
    </row>
    <row r="451" spans="7:7">
      <c r="G451" t="s">
        <v>1759</v>
      </c>
    </row>
    <row r="453" spans="7:7">
      <c r="G453" t="s">
        <v>1735</v>
      </c>
    </row>
    <row r="454" spans="7:7">
      <c r="G454" t="s">
        <v>1637</v>
      </c>
    </row>
    <row r="455" spans="7:7">
      <c r="G455" t="s">
        <v>1717</v>
      </c>
    </row>
    <row r="456" spans="7:7">
      <c r="G456" t="s">
        <v>1718</v>
      </c>
    </row>
    <row r="457" spans="7:7">
      <c r="G457" t="s">
        <v>1719</v>
      </c>
    </row>
    <row r="458" spans="7:7">
      <c r="G458" t="s">
        <v>1720</v>
      </c>
    </row>
    <row r="459" spans="7:7">
      <c r="G459" t="s">
        <v>1721</v>
      </c>
    </row>
    <row r="461" spans="7:7">
      <c r="G461" t="s">
        <v>1760</v>
      </c>
    </row>
    <row r="463" spans="7:7">
      <c r="G463" t="s">
        <v>1761</v>
      </c>
    </row>
    <row r="465" spans="7:7">
      <c r="G465" t="s">
        <v>1529</v>
      </c>
    </row>
    <row r="467" spans="7:7">
      <c r="G467" t="s">
        <v>1762</v>
      </c>
    </row>
    <row r="469" spans="7:7">
      <c r="G469" t="s">
        <v>1763</v>
      </c>
    </row>
    <row r="471" spans="7:7">
      <c r="G471" t="s">
        <v>1764</v>
      </c>
    </row>
    <row r="472" spans="7:7">
      <c r="G472" t="s">
        <v>1637</v>
      </c>
    </row>
    <row r="473" spans="7:7">
      <c r="G473" t="s">
        <v>1717</v>
      </c>
    </row>
    <row r="474" spans="7:7">
      <c r="G474" t="s">
        <v>1718</v>
      </c>
    </row>
    <row r="475" spans="7:7">
      <c r="G475" t="s">
        <v>1719</v>
      </c>
    </row>
    <row r="476" spans="7:7">
      <c r="G476" t="s">
        <v>1720</v>
      </c>
    </row>
    <row r="477" spans="7:7">
      <c r="G477" t="s">
        <v>1721</v>
      </c>
    </row>
    <row r="479" spans="7:7">
      <c r="G479" t="s">
        <v>1765</v>
      </c>
    </row>
    <row r="481" spans="7:7">
      <c r="G481" t="s">
        <v>1766</v>
      </c>
    </row>
    <row r="483" spans="7:7">
      <c r="G483" t="s">
        <v>1529</v>
      </c>
    </row>
    <row r="485" spans="7:7">
      <c r="G485" t="s">
        <v>1767</v>
      </c>
    </row>
    <row r="487" spans="7:7">
      <c r="G487" t="s">
        <v>1768</v>
      </c>
    </row>
    <row r="489" spans="7:7">
      <c r="G489" t="s">
        <v>1769</v>
      </c>
    </row>
    <row r="490" spans="7:7">
      <c r="G490" t="s">
        <v>1770</v>
      </c>
    </row>
    <row r="491" spans="7:7">
      <c r="G491" t="s">
        <v>1771</v>
      </c>
    </row>
    <row r="492" spans="7:7">
      <c r="G492" t="s">
        <v>1772</v>
      </c>
    </row>
    <row r="493" spans="7:7">
      <c r="G493" t="s">
        <v>1773</v>
      </c>
    </row>
    <row r="494" spans="7:7">
      <c r="G494" t="s">
        <v>1774</v>
      </c>
    </row>
    <row r="495" spans="7:7">
      <c r="G495" t="s">
        <v>1775</v>
      </c>
    </row>
    <row r="496" spans="7:7">
      <c r="G496" t="s">
        <v>1776</v>
      </c>
    </row>
    <row r="497" spans="7:7">
      <c r="G497" t="s">
        <v>1777</v>
      </c>
    </row>
    <row r="498" spans="7:7">
      <c r="G498" t="s">
        <v>1778</v>
      </c>
    </row>
    <row r="499" spans="7:7">
      <c r="G499" t="s">
        <v>1779</v>
      </c>
    </row>
    <row r="500" spans="7:7">
      <c r="G500" t="s">
        <v>1780</v>
      </c>
    </row>
    <row r="501" spans="7:7">
      <c r="G501" t="s">
        <v>1781</v>
      </c>
    </row>
    <row r="503" spans="7:7">
      <c r="G503" t="s">
        <v>1782</v>
      </c>
    </row>
    <row r="505" spans="7:7">
      <c r="G505" t="s">
        <v>1783</v>
      </c>
    </row>
    <row r="507" spans="7:7">
      <c r="G507" t="s">
        <v>1784</v>
      </c>
    </row>
    <row r="508" spans="7:7">
      <c r="G508" t="s">
        <v>1770</v>
      </c>
    </row>
    <row r="509" spans="7:7">
      <c r="G509" t="s">
        <v>1785</v>
      </c>
    </row>
    <row r="510" spans="7:7">
      <c r="G510" t="s">
        <v>1786</v>
      </c>
    </row>
    <row r="511" spans="7:7">
      <c r="G511" t="s">
        <v>1787</v>
      </c>
    </row>
    <row r="512" spans="7:7">
      <c r="G512" t="s">
        <v>1788</v>
      </c>
    </row>
    <row r="513" spans="7:7">
      <c r="G513" t="s">
        <v>1789</v>
      </c>
    </row>
    <row r="514" spans="7:7">
      <c r="G514" t="s">
        <v>1790</v>
      </c>
    </row>
    <row r="516" spans="7:7">
      <c r="G516" t="s">
        <v>1529</v>
      </c>
    </row>
    <row r="518" spans="7:7">
      <c r="G518" t="s">
        <v>1791</v>
      </c>
    </row>
    <row r="520" spans="7:7">
      <c r="G520" t="s">
        <v>1792</v>
      </c>
    </row>
    <row r="521" spans="7:7">
      <c r="G521" t="s">
        <v>1542</v>
      </c>
    </row>
    <row r="522" spans="7:7">
      <c r="G522" t="s">
        <v>1793</v>
      </c>
    </row>
    <row r="523" spans="7:7">
      <c r="G523" t="s">
        <v>1794</v>
      </c>
    </row>
    <row r="524" spans="7:7">
      <c r="G524" t="s">
        <v>1795</v>
      </c>
    </row>
    <row r="525" spans="7:7">
      <c r="G525" t="s">
        <v>1796</v>
      </c>
    </row>
    <row r="526" spans="7:7">
      <c r="G526" t="s">
        <v>1797</v>
      </c>
    </row>
    <row r="528" spans="7:7">
      <c r="G528" t="s">
        <v>1798</v>
      </c>
    </row>
    <row r="530" spans="7:7">
      <c r="G530" t="s">
        <v>1529</v>
      </c>
    </row>
    <row r="532" spans="7:7">
      <c r="G532" t="s">
        <v>1799</v>
      </c>
    </row>
    <row r="534" spans="7:7">
      <c r="G534" t="s">
        <v>1800</v>
      </c>
    </row>
    <row r="535" spans="7:7">
      <c r="G535" t="s">
        <v>1801</v>
      </c>
    </row>
    <row r="536" spans="7:7">
      <c r="G536" t="s">
        <v>1802</v>
      </c>
    </row>
    <row r="537" spans="7:7">
      <c r="G537" t="s">
        <v>1803</v>
      </c>
    </row>
    <row r="538" spans="7:7">
      <c r="G538" t="s">
        <v>1804</v>
      </c>
    </row>
    <row r="539" spans="7:7">
      <c r="G539" t="s">
        <v>1805</v>
      </c>
    </row>
    <row r="540" spans="7:7">
      <c r="G540" t="s">
        <v>1806</v>
      </c>
    </row>
    <row r="541" spans="7:7">
      <c r="G541" t="s">
        <v>1807</v>
      </c>
    </row>
    <row r="543" spans="7:7">
      <c r="G543" t="s">
        <v>1529</v>
      </c>
    </row>
    <row r="545" spans="7:7">
      <c r="G545" t="s">
        <v>1808</v>
      </c>
    </row>
    <row r="547" spans="7:7">
      <c r="G547" t="s">
        <v>1809</v>
      </c>
    </row>
    <row r="548" spans="7:7">
      <c r="G548" t="s">
        <v>1570</v>
      </c>
    </row>
    <row r="549" spans="7:7">
      <c r="G549" t="s">
        <v>1810</v>
      </c>
    </row>
    <row r="550" spans="7:7">
      <c r="G550" t="s">
        <v>1811</v>
      </c>
    </row>
    <row r="551" spans="7:7">
      <c r="G551" t="s">
        <v>1812</v>
      </c>
    </row>
    <row r="552" spans="7:7">
      <c r="G552" t="s">
        <v>1813</v>
      </c>
    </row>
    <row r="553" spans="7:7">
      <c r="G553" t="s">
        <v>1814</v>
      </c>
    </row>
    <row r="554" spans="7:7">
      <c r="G554" t="s">
        <v>1815</v>
      </c>
    </row>
    <row r="555" spans="7:7">
      <c r="G555" t="s">
        <v>1816</v>
      </c>
    </row>
    <row r="556" spans="7:7">
      <c r="G556" t="s">
        <v>1817</v>
      </c>
    </row>
    <row r="557" spans="7:7">
      <c r="G557" t="s">
        <v>1818</v>
      </c>
    </row>
    <row r="558" spans="7:7">
      <c r="G558" t="s">
        <v>1819</v>
      </c>
    </row>
    <row r="559" spans="7:7">
      <c r="G559" t="s">
        <v>1820</v>
      </c>
    </row>
    <row r="561" spans="7:7">
      <c r="G561" t="s">
        <v>1529</v>
      </c>
    </row>
    <row r="563" spans="7:7">
      <c r="G563" t="s">
        <v>1821</v>
      </c>
    </row>
    <row r="565" spans="7:7">
      <c r="G565" t="s">
        <v>1822</v>
      </c>
    </row>
    <row r="566" spans="7:7">
      <c r="G566" t="s">
        <v>1823</v>
      </c>
    </row>
    <row r="567" spans="7:7">
      <c r="G567" t="s">
        <v>1824</v>
      </c>
    </row>
    <row r="568" spans="7:7">
      <c r="G568" t="s">
        <v>1825</v>
      </c>
    </row>
    <row r="569" spans="7:7">
      <c r="G569" t="s">
        <v>1826</v>
      </c>
    </row>
    <row r="570" spans="7:7">
      <c r="G570" t="s">
        <v>1827</v>
      </c>
    </row>
    <row r="571" spans="7:7">
      <c r="G571" t="s">
        <v>1828</v>
      </c>
    </row>
    <row r="572" spans="7:7">
      <c r="G572" t="s">
        <v>1829</v>
      </c>
    </row>
    <row r="573" spans="7:7">
      <c r="G573" t="s">
        <v>1830</v>
      </c>
    </row>
    <row r="574" spans="7:7">
      <c r="G574" t="s">
        <v>1831</v>
      </c>
    </row>
    <row r="575" spans="7:7">
      <c r="G575" t="s">
        <v>1832</v>
      </c>
    </row>
    <row r="577" spans="7:7">
      <c r="G577" t="s">
        <v>1529</v>
      </c>
    </row>
    <row r="579" spans="7:7">
      <c r="G579" t="s">
        <v>1833</v>
      </c>
    </row>
    <row r="581" spans="7:7">
      <c r="G581" t="s">
        <v>1834</v>
      </c>
    </row>
    <row r="582" spans="7:7">
      <c r="G582" t="s">
        <v>1532</v>
      </c>
    </row>
    <row r="583" spans="7:7">
      <c r="G583" t="s">
        <v>1835</v>
      </c>
    </row>
    <row r="584" spans="7:7">
      <c r="G584" t="s">
        <v>1836</v>
      </c>
    </row>
    <row r="585" spans="7:7">
      <c r="G585" t="s">
        <v>1837</v>
      </c>
    </row>
    <row r="586" spans="7:7">
      <c r="G586" t="s">
        <v>1838</v>
      </c>
    </row>
    <row r="587" spans="7:7">
      <c r="G587" t="s">
        <v>1839</v>
      </c>
    </row>
    <row r="588" spans="7:7">
      <c r="G588" t="s">
        <v>1840</v>
      </c>
    </row>
    <row r="589" spans="7:7">
      <c r="G589" t="s">
        <v>1841</v>
      </c>
    </row>
    <row r="590" spans="7:7">
      <c r="G590" t="s">
        <v>1842</v>
      </c>
    </row>
    <row r="591" spans="7:7">
      <c r="G591" t="s">
        <v>1843</v>
      </c>
    </row>
    <row r="592" spans="7:7">
      <c r="G592" t="s">
        <v>1844</v>
      </c>
    </row>
    <row r="593" spans="7:7">
      <c r="G593" t="s">
        <v>1845</v>
      </c>
    </row>
    <row r="594" spans="7:7">
      <c r="G594" t="s">
        <v>1846</v>
      </c>
    </row>
    <row r="595" spans="7:7">
      <c r="G595" t="s">
        <v>1847</v>
      </c>
    </row>
    <row r="596" spans="7:7">
      <c r="G596" t="s">
        <v>1848</v>
      </c>
    </row>
    <row r="598" spans="7:7">
      <c r="G598" t="s">
        <v>1529</v>
      </c>
    </row>
    <row r="600" spans="7:7">
      <c r="G600" t="s">
        <v>1849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7"/>
  <sheetViews>
    <sheetView workbookViewId="0">
      <selection activeCell="A1" sqref="$A1:$XFD1048576"/>
    </sheetView>
  </sheetViews>
  <sheetFormatPr defaultColWidth="9" defaultRowHeight="13.5"/>
  <cols>
    <col min="20" max="20" width="54.8833333333333" customWidth="1"/>
    <col min="21" max="21" width="54" customWidth="1"/>
  </cols>
  <sheetData>
    <row r="1" ht="14.25" spans="1:35">
      <c r="A1" s="1" t="s">
        <v>466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1260</v>
      </c>
      <c r="O1" s="1" t="s">
        <v>1172</v>
      </c>
      <c r="P1" s="1"/>
      <c r="Q1" s="1"/>
      <c r="R1" s="1"/>
      <c r="S1" s="1"/>
      <c r="T1" s="1"/>
      <c r="U1" s="1"/>
      <c r="V1" s="1"/>
      <c r="W1" s="1"/>
      <c r="AI1" t="s">
        <v>1850</v>
      </c>
    </row>
    <row r="2" ht="14.25" spans="1:35">
      <c r="A2" s="1"/>
      <c r="B2" s="1"/>
      <c r="C2" s="1" t="s">
        <v>1185</v>
      </c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1263</v>
      </c>
      <c r="O2" s="1" t="s">
        <v>1098</v>
      </c>
      <c r="P2" s="1"/>
      <c r="Q2" s="1"/>
      <c r="R2" s="1"/>
      <c r="S2" s="1"/>
      <c r="T2" s="1"/>
      <c r="U2" s="1"/>
      <c r="V2" s="1"/>
      <c r="W2" s="1"/>
      <c r="AI2" t="s">
        <v>1851</v>
      </c>
    </row>
    <row r="3" ht="14.25" spans="1:35">
      <c r="A3" s="1"/>
      <c r="B3" s="1" t="s">
        <v>1234</v>
      </c>
      <c r="C3" s="1" t="s">
        <v>1852</v>
      </c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1221</v>
      </c>
      <c r="O3" s="1" t="s">
        <v>1104</v>
      </c>
      <c r="P3" s="1"/>
      <c r="Q3" s="1"/>
      <c r="R3" s="1"/>
      <c r="S3" s="1"/>
      <c r="T3" s="1"/>
      <c r="U3" s="1"/>
      <c r="V3" s="1"/>
      <c r="W3" s="1" t="s">
        <v>1853</v>
      </c>
      <c r="X3" t="s">
        <v>1854</v>
      </c>
      <c r="AB3" t="s">
        <v>1855</v>
      </c>
      <c r="AI3" t="s">
        <v>1856</v>
      </c>
    </row>
    <row r="4" ht="14.25" spans="1:35">
      <c r="A4" s="1"/>
      <c r="B4" s="1" t="s">
        <v>1238</v>
      </c>
      <c r="C4" s="1" t="s">
        <v>1239</v>
      </c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1857</v>
      </c>
      <c r="O4" s="1" t="s">
        <v>1107</v>
      </c>
      <c r="P4" s="1"/>
      <c r="Q4" s="1"/>
      <c r="R4" s="1"/>
      <c r="S4" s="1"/>
      <c r="T4" s="1"/>
      <c r="U4" s="1"/>
      <c r="V4" s="1"/>
      <c r="W4" s="1" t="s">
        <v>1858</v>
      </c>
      <c r="X4" t="s">
        <v>1859</v>
      </c>
      <c r="AB4" t="s">
        <v>1860</v>
      </c>
      <c r="AI4" t="s">
        <v>1861</v>
      </c>
    </row>
    <row r="5" ht="14.25" spans="1:35">
      <c r="A5" s="1"/>
      <c r="B5" s="1" t="s">
        <v>1242</v>
      </c>
      <c r="C5" s="1" t="s">
        <v>1243</v>
      </c>
      <c r="D5" s="1"/>
      <c r="E5" s="1"/>
      <c r="F5" s="1"/>
      <c r="G5" s="1"/>
      <c r="H5" s="1"/>
      <c r="I5" s="1"/>
      <c r="J5" s="1"/>
      <c r="K5" s="1"/>
      <c r="L5" s="1"/>
      <c r="M5" s="1"/>
      <c r="N5" s="1" t="s">
        <v>1204</v>
      </c>
      <c r="O5" s="1" t="s">
        <v>1862</v>
      </c>
      <c r="P5" s="1"/>
      <c r="Q5" s="1"/>
      <c r="R5" s="1"/>
      <c r="S5" s="1"/>
      <c r="T5" s="1"/>
      <c r="U5" s="1"/>
      <c r="V5" s="1"/>
      <c r="W5" s="1" t="s">
        <v>1863</v>
      </c>
      <c r="X5" t="s">
        <v>1864</v>
      </c>
      <c r="AB5" t="s">
        <v>1865</v>
      </c>
      <c r="AI5" t="s">
        <v>1866</v>
      </c>
    </row>
    <row r="6" ht="14.25" spans="1:35">
      <c r="A6" s="1"/>
      <c r="B6" s="1" t="s">
        <v>1105</v>
      </c>
      <c r="C6" s="1" t="s">
        <v>1106</v>
      </c>
      <c r="D6" s="1"/>
      <c r="E6" s="1"/>
      <c r="F6" s="1"/>
      <c r="G6" s="1"/>
      <c r="H6" s="1"/>
      <c r="I6" s="1"/>
      <c r="J6" s="1"/>
      <c r="K6" s="1"/>
      <c r="L6" s="1"/>
      <c r="M6" s="1"/>
      <c r="N6" s="1" t="s">
        <v>1192</v>
      </c>
      <c r="O6" s="1" t="s">
        <v>1101</v>
      </c>
      <c r="P6" s="1"/>
      <c r="Q6" s="1"/>
      <c r="R6" s="1"/>
      <c r="S6" s="1"/>
      <c r="T6" s="1"/>
      <c r="U6" s="1"/>
      <c r="V6" s="1"/>
      <c r="W6" s="1" t="s">
        <v>1867</v>
      </c>
      <c r="X6" t="s">
        <v>1868</v>
      </c>
      <c r="AB6" t="s">
        <v>1869</v>
      </c>
    </row>
    <row r="7" ht="14.25" spans="1:35">
      <c r="A7" s="1"/>
      <c r="B7" s="1" t="s">
        <v>1115</v>
      </c>
      <c r="C7" s="1" t="s">
        <v>1112</v>
      </c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1224</v>
      </c>
      <c r="O7" s="1" t="s">
        <v>1870</v>
      </c>
      <c r="P7" s="1"/>
      <c r="Q7" s="1"/>
      <c r="R7" s="1"/>
      <c r="S7" s="1"/>
      <c r="T7" s="1"/>
      <c r="U7" s="1"/>
      <c r="V7" s="1"/>
      <c r="W7" s="1" t="s">
        <v>1871</v>
      </c>
      <c r="X7" t="s">
        <v>1872</v>
      </c>
      <c r="AB7" t="s">
        <v>1873</v>
      </c>
    </row>
    <row r="8" ht="14.25" spans="1:35">
      <c r="A8" s="1"/>
      <c r="B8" s="1" t="s">
        <v>1111</v>
      </c>
      <c r="C8" s="1" t="s">
        <v>1874</v>
      </c>
      <c r="D8" s="1"/>
      <c r="E8" s="1"/>
      <c r="F8" s="1"/>
      <c r="G8" s="1"/>
      <c r="H8" s="1"/>
      <c r="I8" s="1"/>
      <c r="J8" s="1"/>
      <c r="K8" s="1"/>
      <c r="L8" s="1"/>
      <c r="M8" s="1"/>
      <c r="N8" s="1" t="s">
        <v>1207</v>
      </c>
      <c r="O8" s="1" t="s">
        <v>1875</v>
      </c>
      <c r="P8" s="1"/>
      <c r="Q8" s="1"/>
      <c r="R8" s="1"/>
      <c r="S8" s="1"/>
      <c r="T8" s="1"/>
      <c r="U8" s="1"/>
      <c r="V8" s="1"/>
      <c r="W8" s="1" t="s">
        <v>1876</v>
      </c>
      <c r="X8" t="s">
        <v>1443</v>
      </c>
    </row>
    <row r="9" ht="14.25" spans="1:35">
      <c r="A9" s="1"/>
      <c r="B9" s="1" t="s">
        <v>1258</v>
      </c>
      <c r="C9" s="1" t="s">
        <v>1259</v>
      </c>
      <c r="D9" s="1"/>
      <c r="E9" s="1"/>
      <c r="F9" s="1"/>
      <c r="G9" s="1"/>
      <c r="H9" s="1"/>
      <c r="I9" s="1"/>
      <c r="J9" s="1"/>
      <c r="K9" s="1"/>
      <c r="L9" s="1"/>
      <c r="M9" s="1"/>
      <c r="N9" s="1" t="s">
        <v>1210</v>
      </c>
      <c r="O9" s="1" t="s">
        <v>1877</v>
      </c>
      <c r="P9" s="1"/>
      <c r="Q9" s="1"/>
      <c r="R9" s="1"/>
      <c r="S9" s="1"/>
      <c r="T9" s="1"/>
      <c r="U9" s="1"/>
      <c r="V9" s="1"/>
      <c r="W9" s="1"/>
    </row>
    <row r="10" ht="14.25" spans="1:35">
      <c r="A10" s="1"/>
      <c r="B10" s="1" t="s">
        <v>1199</v>
      </c>
      <c r="C10" s="1" t="s">
        <v>1262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 t="s">
        <v>1878</v>
      </c>
      <c r="O10" s="1" t="s">
        <v>1879</v>
      </c>
      <c r="P10" s="1"/>
      <c r="Q10" s="1"/>
      <c r="R10" s="1"/>
      <c r="S10" s="1"/>
      <c r="T10" s="1"/>
      <c r="U10" s="1"/>
      <c r="V10" s="1"/>
      <c r="W10" s="1"/>
    </row>
    <row r="11" ht="14.25" spans="1:35">
      <c r="A11" s="1"/>
      <c r="B11" s="1" t="s">
        <v>1265</v>
      </c>
      <c r="C11" s="1" t="s">
        <v>1266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 t="s">
        <v>1271</v>
      </c>
      <c r="O11" s="1" t="s">
        <v>1880</v>
      </c>
      <c r="P11" s="1"/>
      <c r="Q11" s="1"/>
      <c r="R11" s="1"/>
      <c r="S11" s="1"/>
      <c r="T11" s="1"/>
      <c r="U11" s="1"/>
      <c r="V11" s="1"/>
      <c r="W11" s="1"/>
    </row>
    <row r="12" ht="14.25" spans="1:35">
      <c r="A12" s="1"/>
      <c r="B12" s="1" t="s">
        <v>1269</v>
      </c>
      <c r="C12" s="1" t="s">
        <v>1270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 t="s">
        <v>1193</v>
      </c>
      <c r="O12" s="1" t="s">
        <v>1881</v>
      </c>
      <c r="P12" s="1"/>
      <c r="Q12" s="1"/>
      <c r="R12" s="1"/>
      <c r="S12" s="1"/>
      <c r="T12" s="1"/>
      <c r="U12" s="1"/>
      <c r="V12" s="1"/>
      <c r="W12" s="1"/>
    </row>
    <row r="13" ht="14.25" spans="1:35">
      <c r="A13" s="1"/>
      <c r="B13" s="1" t="s">
        <v>1338</v>
      </c>
      <c r="C13" s="1" t="s">
        <v>1339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1882</v>
      </c>
      <c r="O13" s="1" t="s">
        <v>1883</v>
      </c>
      <c r="P13" s="1"/>
      <c r="Q13" s="1"/>
      <c r="R13" s="1"/>
      <c r="S13" s="1"/>
      <c r="T13" s="1"/>
      <c r="U13" s="1"/>
      <c r="V13" s="1"/>
      <c r="W13" s="1"/>
    </row>
    <row r="14" ht="14.25" spans="1:35">
      <c r="A14" s="1"/>
      <c r="B14" s="1" t="s">
        <v>1188</v>
      </c>
      <c r="C14" s="1" t="s">
        <v>1884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 t="s">
        <v>1196</v>
      </c>
      <c r="O14" s="1" t="s">
        <v>1141</v>
      </c>
      <c r="P14" s="1"/>
      <c r="Q14" s="1"/>
      <c r="R14" s="1"/>
      <c r="S14" s="1"/>
      <c r="T14" s="1"/>
      <c r="U14" s="1"/>
      <c r="V14" s="1"/>
      <c r="W14" s="1"/>
    </row>
    <row r="15" ht="14.25" spans="1:35">
      <c r="A15" s="1"/>
      <c r="B15" s="1" t="s">
        <v>1119</v>
      </c>
      <c r="C15" s="1" t="s">
        <v>1120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 t="s">
        <v>1231</v>
      </c>
      <c r="O15" s="1" t="s">
        <v>1885</v>
      </c>
      <c r="P15" s="1"/>
      <c r="Q15" s="1"/>
      <c r="R15" s="1"/>
      <c r="S15" s="1"/>
      <c r="T15" s="1"/>
      <c r="U15" s="1"/>
      <c r="V15" s="1"/>
      <c r="W15" s="1"/>
    </row>
    <row r="16" ht="14.25" spans="1:35">
      <c r="A16" s="1"/>
      <c r="B16" s="1" t="s">
        <v>1194</v>
      </c>
      <c r="C16" s="1" t="s">
        <v>1195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1240</v>
      </c>
      <c r="O16" s="1" t="s">
        <v>1886</v>
      </c>
      <c r="P16" s="1"/>
      <c r="Q16" s="1"/>
      <c r="R16" s="1"/>
      <c r="S16" s="1"/>
      <c r="T16" s="1"/>
      <c r="U16" s="1"/>
      <c r="V16" s="1"/>
      <c r="W16" s="1"/>
    </row>
    <row r="17" ht="14.25" spans="1:23">
      <c r="A17" s="1"/>
      <c r="B17" s="1" t="s">
        <v>491</v>
      </c>
      <c r="C17" s="1" t="s">
        <v>1197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1214</v>
      </c>
      <c r="O17" s="1" t="s">
        <v>1887</v>
      </c>
      <c r="P17" s="1"/>
      <c r="Q17" s="1"/>
      <c r="R17" s="1"/>
      <c r="S17" s="1"/>
      <c r="T17" s="1"/>
      <c r="U17" s="1"/>
      <c r="V17" s="1"/>
      <c r="W17" s="1"/>
    </row>
    <row r="18" ht="14.25" spans="1:23">
      <c r="A18" s="1"/>
      <c r="B18" s="1" t="s">
        <v>494</v>
      </c>
      <c r="C18" s="1" t="s">
        <v>1393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 t="s">
        <v>1888</v>
      </c>
      <c r="O18" s="1" t="s">
        <v>1889</v>
      </c>
      <c r="P18" s="1"/>
      <c r="Q18" s="1"/>
      <c r="R18" s="1"/>
      <c r="S18" s="1"/>
      <c r="T18" s="1"/>
      <c r="U18" s="1"/>
      <c r="V18" s="1"/>
      <c r="W18" s="1"/>
    </row>
    <row r="19" ht="14.25" spans="1:23">
      <c r="A19" s="1"/>
      <c r="B19" s="1" t="s">
        <v>539</v>
      </c>
      <c r="C19" s="1" t="s">
        <v>1191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 t="s">
        <v>1198</v>
      </c>
      <c r="O19" s="1" t="s">
        <v>1890</v>
      </c>
      <c r="P19" s="1"/>
      <c r="Q19" s="1"/>
      <c r="R19" s="1"/>
      <c r="S19" s="1" t="s">
        <v>1891</v>
      </c>
      <c r="T19" s="1" t="s">
        <v>1087</v>
      </c>
      <c r="U19" s="1" t="s">
        <v>1853</v>
      </c>
      <c r="V19" s="1" t="s">
        <v>1892</v>
      </c>
      <c r="W19" s="1"/>
    </row>
    <row r="20" ht="14.25" spans="1:23">
      <c r="A20" s="1"/>
      <c r="B20" s="1" t="s">
        <v>537</v>
      </c>
      <c r="C20" s="1" t="s">
        <v>1398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 t="s">
        <v>1256</v>
      </c>
      <c r="O20" s="1" t="s">
        <v>1893</v>
      </c>
      <c r="P20" s="1"/>
      <c r="Q20" s="1"/>
      <c r="R20" s="1"/>
      <c r="S20" s="1" t="s">
        <v>1894</v>
      </c>
      <c r="T20" s="1" t="s">
        <v>1895</v>
      </c>
      <c r="U20" s="1" t="s">
        <v>1858</v>
      </c>
      <c r="V20" s="1" t="s">
        <v>1859</v>
      </c>
      <c r="W20" s="1"/>
    </row>
    <row r="21" ht="14.25" spans="1:23">
      <c r="A21" s="1"/>
      <c r="B21" s="1" t="s">
        <v>524</v>
      </c>
      <c r="C21" s="1" t="s">
        <v>1401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 t="s">
        <v>1896</v>
      </c>
      <c r="O21" s="1" t="s">
        <v>1179</v>
      </c>
      <c r="P21" s="1"/>
      <c r="Q21" s="1"/>
      <c r="R21" s="1"/>
      <c r="S21" s="1" t="s">
        <v>1894</v>
      </c>
      <c r="T21" s="1" t="s">
        <v>1066</v>
      </c>
      <c r="U21" s="1" t="s">
        <v>514</v>
      </c>
      <c r="V21" s="1" t="s">
        <v>1897</v>
      </c>
      <c r="W21" s="1"/>
    </row>
    <row r="22" ht="14.25" spans="1:23">
      <c r="A22" s="1"/>
      <c r="B22" s="1" t="s">
        <v>1181</v>
      </c>
      <c r="C22" s="1" t="s">
        <v>1182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 t="s">
        <v>1898</v>
      </c>
      <c r="O22" s="1" t="s">
        <v>1183</v>
      </c>
      <c r="P22" s="1"/>
      <c r="Q22" s="1"/>
      <c r="R22" s="1"/>
      <c r="S22" s="1" t="s">
        <v>1899</v>
      </c>
      <c r="T22" s="1" t="s">
        <v>1900</v>
      </c>
      <c r="U22" s="1" t="s">
        <v>1863</v>
      </c>
      <c r="V22" s="1" t="s">
        <v>1864</v>
      </c>
      <c r="W22" s="1"/>
    </row>
    <row r="23" ht="14.25" spans="1:23">
      <c r="A23" s="1"/>
      <c r="B23" s="1" t="s">
        <v>939</v>
      </c>
      <c r="C23" s="1" t="s">
        <v>1178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 t="s">
        <v>1275</v>
      </c>
      <c r="O23" s="1" t="s">
        <v>1901</v>
      </c>
      <c r="P23" s="1"/>
      <c r="Q23" s="1"/>
      <c r="R23" s="1"/>
      <c r="S23" s="1" t="s">
        <v>1899</v>
      </c>
      <c r="T23" s="1" t="s">
        <v>1902</v>
      </c>
      <c r="U23" s="1" t="s">
        <v>1903</v>
      </c>
      <c r="V23" s="1" t="s">
        <v>1904</v>
      </c>
      <c r="W23" s="1"/>
    </row>
    <row r="24" ht="14.25" spans="1:23">
      <c r="A24" s="1"/>
      <c r="B24" s="1" t="s">
        <v>941</v>
      </c>
      <c r="C24" s="1" t="s">
        <v>1408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 t="s">
        <v>1201</v>
      </c>
      <c r="O24" s="1" t="s">
        <v>1905</v>
      </c>
      <c r="P24" s="1"/>
      <c r="Q24" s="1"/>
      <c r="R24" s="1"/>
      <c r="S24" s="1" t="s">
        <v>1906</v>
      </c>
      <c r="T24" s="1" t="s">
        <v>1907</v>
      </c>
      <c r="U24" s="1" t="s">
        <v>1867</v>
      </c>
      <c r="V24" s="1" t="s">
        <v>1868</v>
      </c>
      <c r="W24" s="1"/>
    </row>
    <row r="25" ht="14.25" spans="1:23">
      <c r="A25" s="1"/>
      <c r="B25" s="1" t="s">
        <v>1411</v>
      </c>
      <c r="C25" s="1" t="s">
        <v>1412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 t="s">
        <v>1908</v>
      </c>
      <c r="O25" s="1" t="s">
        <v>1909</v>
      </c>
      <c r="P25" s="1"/>
      <c r="Q25" s="1"/>
      <c r="R25" s="1"/>
      <c r="S25" s="1" t="s">
        <v>1906</v>
      </c>
      <c r="T25" s="1" t="s">
        <v>1910</v>
      </c>
      <c r="U25" s="1" t="s">
        <v>1911</v>
      </c>
      <c r="V25" s="1" t="s">
        <v>1912</v>
      </c>
      <c r="W25" s="1"/>
    </row>
    <row r="26" ht="14.25" spans="1:23">
      <c r="A26" s="1"/>
      <c r="B26" s="1" t="s">
        <v>1174</v>
      </c>
      <c r="C26" s="1" t="s">
        <v>1913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 t="s">
        <v>1914</v>
      </c>
      <c r="O26" s="1" t="s">
        <v>1915</v>
      </c>
      <c r="P26" s="1"/>
      <c r="Q26" s="1"/>
      <c r="R26" s="1"/>
      <c r="S26" s="1" t="s">
        <v>1916</v>
      </c>
      <c r="T26" s="1" t="s">
        <v>1077</v>
      </c>
      <c r="U26" s="1" t="s">
        <v>1871</v>
      </c>
      <c r="V26" s="1" t="s">
        <v>1872</v>
      </c>
      <c r="W26" s="1"/>
    </row>
    <row r="27" ht="14.25" spans="1:23">
      <c r="A27" s="1"/>
      <c r="B27" s="1" t="s">
        <v>488</v>
      </c>
      <c r="C27" s="1" t="s">
        <v>1347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 t="s">
        <v>1244</v>
      </c>
      <c r="O27" s="1" t="s">
        <v>1917</v>
      </c>
      <c r="P27" s="1"/>
      <c r="Q27" s="1"/>
      <c r="R27" s="1"/>
      <c r="S27" s="1" t="s">
        <v>1916</v>
      </c>
      <c r="T27" s="1" t="s">
        <v>1918</v>
      </c>
      <c r="U27" s="1" t="s">
        <v>612</v>
      </c>
      <c r="V27" s="1" t="s">
        <v>1919</v>
      </c>
      <c r="W27" s="1"/>
    </row>
    <row r="28" ht="14.25" spans="1:23">
      <c r="A28" s="1"/>
      <c r="B28" s="1" t="s">
        <v>1131</v>
      </c>
      <c r="C28" s="1" t="s">
        <v>1132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 t="s">
        <v>1236</v>
      </c>
      <c r="O28" s="1" t="s">
        <v>1920</v>
      </c>
      <c r="P28" s="1"/>
      <c r="Q28" s="1"/>
      <c r="R28" s="1"/>
      <c r="S28" s="1" t="s">
        <v>1921</v>
      </c>
      <c r="T28" s="1" t="s">
        <v>1080</v>
      </c>
      <c r="U28" s="1" t="s">
        <v>1876</v>
      </c>
      <c r="V28" s="1" t="s">
        <v>1443</v>
      </c>
      <c r="W28" s="1"/>
    </row>
    <row r="29" ht="14.25" spans="1:23">
      <c r="A29" s="1"/>
      <c r="B29" s="1" t="s">
        <v>1212</v>
      </c>
      <c r="C29" s="1" t="s">
        <v>1213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 t="s">
        <v>1922</v>
      </c>
      <c r="O29" s="1" t="s">
        <v>1923</v>
      </c>
      <c r="P29" s="1"/>
      <c r="Q29" s="1"/>
      <c r="R29" s="1"/>
      <c r="S29" s="1" t="s">
        <v>1921</v>
      </c>
      <c r="T29" s="1" t="s">
        <v>1924</v>
      </c>
      <c r="U29" s="1" t="s">
        <v>1925</v>
      </c>
      <c r="V29" s="1" t="s">
        <v>1926</v>
      </c>
      <c r="W29" s="1"/>
    </row>
    <row r="30" ht="14.25" spans="1:23">
      <c r="A30" s="1"/>
      <c r="B30" s="1" t="s">
        <v>1143</v>
      </c>
      <c r="C30" s="1" t="s">
        <v>1144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 t="s">
        <v>1927</v>
      </c>
      <c r="O30" s="1" t="s">
        <v>1176</v>
      </c>
      <c r="P30" s="1"/>
      <c r="Q30" s="1"/>
      <c r="R30" s="1"/>
      <c r="S30" s="1"/>
      <c r="T30" s="1"/>
      <c r="U30" s="1"/>
      <c r="V30" s="1"/>
      <c r="W30" s="1"/>
    </row>
    <row r="31" ht="14.25" spans="1:23">
      <c r="A31" s="1"/>
      <c r="B31" s="1" t="s">
        <v>1202</v>
      </c>
      <c r="C31" s="1" t="s">
        <v>1203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 t="s">
        <v>1928</v>
      </c>
      <c r="O31" s="1" t="s">
        <v>1117</v>
      </c>
      <c r="P31" s="1"/>
      <c r="Q31" s="1"/>
      <c r="R31" s="1"/>
      <c r="S31" s="1" t="s">
        <v>1086</v>
      </c>
      <c r="T31" s="1" t="s">
        <v>1929</v>
      </c>
      <c r="U31" s="1"/>
      <c r="V31" s="1"/>
      <c r="W31" s="1"/>
    </row>
    <row r="32" ht="14.25" spans="1:23">
      <c r="A32" s="1"/>
      <c r="B32" s="1" t="s">
        <v>539</v>
      </c>
      <c r="C32" s="1" t="s">
        <v>1206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 t="s">
        <v>1930</v>
      </c>
      <c r="O32" s="1" t="s">
        <v>1125</v>
      </c>
      <c r="P32" s="1"/>
      <c r="Q32" s="1"/>
      <c r="R32" s="1"/>
      <c r="S32" s="1" t="s">
        <v>1894</v>
      </c>
      <c r="T32" s="1" t="s">
        <v>1931</v>
      </c>
      <c r="U32" s="1"/>
      <c r="V32" s="1"/>
      <c r="W32" s="1"/>
    </row>
    <row r="33" ht="14.25" spans="1:35">
      <c r="A33" s="1"/>
      <c r="B33" s="1" t="s">
        <v>82</v>
      </c>
      <c r="C33" s="1" t="s">
        <v>1932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 t="s">
        <v>1933</v>
      </c>
      <c r="O33" s="1" t="s">
        <v>1934</v>
      </c>
      <c r="P33" s="1"/>
      <c r="Q33" s="1"/>
      <c r="R33" s="1"/>
      <c r="S33" s="1" t="s">
        <v>1899</v>
      </c>
      <c r="T33" s="1" t="s">
        <v>1935</v>
      </c>
      <c r="U33" s="1"/>
      <c r="V33" s="1"/>
      <c r="W33" s="1"/>
      <c r="AI33" t="s">
        <v>1529</v>
      </c>
    </row>
    <row r="34" ht="14.25" spans="1:35">
      <c r="A34" s="1"/>
      <c r="B34" s="1" t="s">
        <v>531</v>
      </c>
      <c r="C34" s="1" t="s">
        <v>1216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 t="s">
        <v>1936</v>
      </c>
      <c r="O34" s="1" t="s">
        <v>1937</v>
      </c>
      <c r="P34" s="1"/>
      <c r="Q34" s="1"/>
      <c r="R34" s="1"/>
      <c r="S34" s="1" t="s">
        <v>1906</v>
      </c>
      <c r="T34" s="1" t="s">
        <v>1938</v>
      </c>
      <c r="U34" s="1"/>
      <c r="V34" s="1"/>
      <c r="W34" s="1"/>
    </row>
    <row r="35" ht="14.25" spans="1:35">
      <c r="A35" s="1"/>
      <c r="B35" s="1" t="s">
        <v>949</v>
      </c>
      <c r="C35" s="1" t="s">
        <v>1223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 t="s">
        <v>1248</v>
      </c>
      <c r="O35" s="1" t="s">
        <v>1939</v>
      </c>
      <c r="P35" s="1"/>
      <c r="Q35" s="1"/>
      <c r="R35" s="1"/>
      <c r="S35" s="1" t="s">
        <v>1916</v>
      </c>
      <c r="T35" s="1" t="s">
        <v>1940</v>
      </c>
      <c r="U35" s="1"/>
      <c r="V35" s="1"/>
      <c r="W35" s="1"/>
    </row>
    <row r="36" ht="14.25" spans="1:35">
      <c r="A36" s="1"/>
      <c r="B36" s="1" t="s">
        <v>1219</v>
      </c>
      <c r="C36" s="1" t="s">
        <v>1220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 t="s">
        <v>1941</v>
      </c>
      <c r="O36" s="1" t="s">
        <v>1186</v>
      </c>
      <c r="P36" s="1"/>
      <c r="Q36" s="1"/>
      <c r="R36" s="1"/>
      <c r="S36" s="1" t="s">
        <v>1921</v>
      </c>
      <c r="T36" s="1" t="s">
        <v>1942</v>
      </c>
      <c r="U36" s="1"/>
      <c r="V36" s="1"/>
      <c r="W36" s="1"/>
    </row>
    <row r="37" ht="14.25" spans="1:35">
      <c r="A37" s="1"/>
      <c r="B37" s="1" t="s">
        <v>1273</v>
      </c>
      <c r="C37" s="1" t="s">
        <v>1274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 t="s">
        <v>1943</v>
      </c>
      <c r="O37" s="1" t="s">
        <v>1944</v>
      </c>
      <c r="P37" s="1"/>
      <c r="Q37" s="1"/>
      <c r="R37" s="1"/>
      <c r="S37" s="1"/>
      <c r="T37" s="1"/>
      <c r="U37" s="1"/>
      <c r="V37" s="1"/>
      <c r="W37" s="1"/>
    </row>
    <row r="38" ht="14.25" spans="1:35">
      <c r="A38" s="1"/>
      <c r="B38" s="1" t="s">
        <v>1277</v>
      </c>
      <c r="C38" s="1" t="s">
        <v>1278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 t="s">
        <v>1945</v>
      </c>
      <c r="O38" s="1" t="s">
        <v>1110</v>
      </c>
      <c r="P38" s="1"/>
      <c r="Q38" s="1"/>
      <c r="R38" s="1"/>
      <c r="S38" s="1"/>
      <c r="T38" s="1"/>
      <c r="U38" s="1"/>
      <c r="V38" s="1"/>
      <c r="W38" s="1"/>
    </row>
    <row r="39" ht="14.25" spans="1:35">
      <c r="A39" s="1"/>
      <c r="B39" s="1" t="s">
        <v>1279</v>
      </c>
      <c r="C39" s="1" t="s">
        <v>1280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 t="s">
        <v>1252</v>
      </c>
      <c r="O39" s="1" t="s">
        <v>1946</v>
      </c>
      <c r="P39" s="1"/>
      <c r="Q39" s="1"/>
      <c r="R39" s="1"/>
      <c r="S39" s="1"/>
      <c r="T39" s="1"/>
      <c r="U39" s="1"/>
      <c r="V39" s="1"/>
      <c r="W39" s="1"/>
    </row>
    <row r="40" ht="14.25" spans="1:35">
      <c r="A40" s="1"/>
      <c r="B40" s="1" t="s">
        <v>1281</v>
      </c>
      <c r="C40" s="1" t="s">
        <v>1282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 t="s">
        <v>1947</v>
      </c>
      <c r="O40" s="1" t="s">
        <v>1163</v>
      </c>
      <c r="P40" s="1"/>
      <c r="Q40" s="1"/>
      <c r="R40" s="1"/>
      <c r="S40" s="1"/>
      <c r="T40" s="1"/>
      <c r="U40" s="1"/>
      <c r="V40" s="1"/>
      <c r="W40" s="1"/>
    </row>
    <row r="41" ht="14.25" spans="1:35">
      <c r="A41" s="1"/>
      <c r="B41" s="1" t="s">
        <v>1285</v>
      </c>
      <c r="C41" s="1" t="s">
        <v>1286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 t="s">
        <v>1948</v>
      </c>
      <c r="O41" s="1" t="s">
        <v>1949</v>
      </c>
      <c r="P41" s="1"/>
      <c r="Q41" s="1"/>
      <c r="R41" s="1"/>
      <c r="S41" s="1"/>
      <c r="T41" s="1"/>
      <c r="U41" s="1"/>
      <c r="V41" s="1"/>
      <c r="W41" s="1"/>
    </row>
    <row r="42" ht="14.25" spans="1:35">
      <c r="A42" s="1"/>
      <c r="B42" s="1" t="s">
        <v>1289</v>
      </c>
      <c r="C42" s="1" t="s">
        <v>1290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 t="s">
        <v>1950</v>
      </c>
      <c r="O42" s="1" t="s">
        <v>1951</v>
      </c>
      <c r="P42" s="1"/>
      <c r="Q42" s="1"/>
      <c r="R42" s="1"/>
      <c r="S42" s="1"/>
      <c r="T42" s="1"/>
      <c r="U42" s="1"/>
      <c r="V42" s="1"/>
      <c r="W42" s="1"/>
    </row>
    <row r="43" ht="14.25" spans="1:35">
      <c r="A43" s="1"/>
      <c r="B43" s="1" t="s">
        <v>1292</v>
      </c>
      <c r="C43" s="1" t="s">
        <v>1293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 t="s">
        <v>1952</v>
      </c>
      <c r="P43" s="1"/>
      <c r="Q43" s="1"/>
      <c r="R43" s="1"/>
      <c r="S43" s="1"/>
      <c r="T43" s="1"/>
      <c r="U43" s="1"/>
      <c r="V43" s="1"/>
      <c r="W43" s="1"/>
    </row>
    <row r="44" ht="14.25" spans="1:35">
      <c r="A44" s="1"/>
      <c r="B44" s="1" t="s">
        <v>1295</v>
      </c>
      <c r="C44" s="1" t="s">
        <v>1296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 t="s">
        <v>1129</v>
      </c>
      <c r="P44" s="1"/>
      <c r="Q44" s="1"/>
      <c r="R44" s="1"/>
      <c r="S44" s="1"/>
      <c r="T44" s="1"/>
      <c r="U44" s="1"/>
      <c r="V44" s="1"/>
      <c r="W44" s="1"/>
    </row>
    <row r="45" ht="14.25" spans="1:35">
      <c r="A45" s="1"/>
      <c r="B45" s="1" t="s">
        <v>1330</v>
      </c>
      <c r="C45" s="1" t="s">
        <v>1953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 t="s">
        <v>1954</v>
      </c>
      <c r="P45" s="1"/>
      <c r="Q45" s="1"/>
      <c r="R45" s="1"/>
      <c r="S45" s="1"/>
      <c r="T45" s="1"/>
      <c r="U45" s="1"/>
      <c r="V45" s="1"/>
      <c r="W45" s="1"/>
    </row>
    <row r="46" ht="14.25" spans="1:35">
      <c r="A46" s="1"/>
      <c r="B46" s="1" t="s">
        <v>1333</v>
      </c>
      <c r="C46" s="1" t="s">
        <v>1334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 t="s">
        <v>1955</v>
      </c>
      <c r="P46" s="1"/>
      <c r="Q46" s="1"/>
      <c r="R46" s="1"/>
      <c r="S46" s="1" t="s">
        <v>160</v>
      </c>
      <c r="T46" s="1" t="s">
        <v>1956</v>
      </c>
      <c r="U46" s="1" t="s">
        <v>1957</v>
      </c>
      <c r="V46" s="1" t="s">
        <v>1958</v>
      </c>
      <c r="W46" s="1"/>
    </row>
    <row r="47" ht="14.25" spans="1:35">
      <c r="A47" s="1"/>
      <c r="B47" s="1" t="s">
        <v>1376</v>
      </c>
      <c r="C47" s="1" t="s">
        <v>1959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 t="s">
        <v>1960</v>
      </c>
      <c r="O47" s="1" t="s">
        <v>1961</v>
      </c>
      <c r="P47" s="1"/>
      <c r="Q47" s="1"/>
      <c r="R47" s="1"/>
      <c r="S47" s="1" t="s">
        <v>1895</v>
      </c>
      <c r="T47" s="1" t="s">
        <v>1962</v>
      </c>
      <c r="U47" s="1" t="s">
        <v>1963</v>
      </c>
      <c r="V47" s="1" t="s">
        <v>1964</v>
      </c>
      <c r="W47" s="1"/>
    </row>
    <row r="48" ht="14.25" spans="1:35">
      <c r="A48" s="1"/>
      <c r="B48" s="1" t="s">
        <v>1318</v>
      </c>
      <c r="C48" s="1" t="s">
        <v>1319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 t="s">
        <v>1965</v>
      </c>
      <c r="P48" s="1"/>
      <c r="Q48" s="1"/>
      <c r="R48" s="1"/>
      <c r="S48" s="1" t="s">
        <v>1066</v>
      </c>
      <c r="T48" s="1" t="s">
        <v>1966</v>
      </c>
      <c r="U48" s="1" t="s">
        <v>1967</v>
      </c>
      <c r="V48" s="1" t="s">
        <v>1968</v>
      </c>
      <c r="W48" s="1"/>
    </row>
    <row r="49" ht="14.25" spans="1:25">
      <c r="A49" s="1"/>
      <c r="B49" s="1" t="s">
        <v>1322</v>
      </c>
      <c r="C49" s="1" t="s">
        <v>1323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1969</v>
      </c>
      <c r="P49" s="1"/>
      <c r="Q49" s="1"/>
      <c r="R49" s="1"/>
      <c r="S49" s="1" t="s">
        <v>1970</v>
      </c>
      <c r="T49" s="1" t="s">
        <v>1931</v>
      </c>
      <c r="U49" s="1" t="s">
        <v>1971</v>
      </c>
      <c r="V49" s="1" t="s">
        <v>1858</v>
      </c>
      <c r="W49" s="1"/>
    </row>
    <row r="50" ht="14.25" spans="1:25">
      <c r="A50" s="1"/>
      <c r="B50" s="1" t="s">
        <v>1151</v>
      </c>
      <c r="C50" s="1" t="s">
        <v>1152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 t="s">
        <v>1972</v>
      </c>
      <c r="P50" s="1"/>
      <c r="Q50" s="1"/>
      <c r="R50" s="1"/>
      <c r="S50" s="1" t="s">
        <v>1900</v>
      </c>
      <c r="T50" s="1" t="s">
        <v>1973</v>
      </c>
      <c r="U50" s="1" t="s">
        <v>1974</v>
      </c>
      <c r="V50" s="1" t="s">
        <v>1863</v>
      </c>
      <c r="W50" s="1"/>
    </row>
    <row r="51" ht="14.25" spans="1:25">
      <c r="A51" s="1"/>
      <c r="B51" s="1" t="s">
        <v>1147</v>
      </c>
      <c r="C51" s="1" t="s">
        <v>1148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 t="s">
        <v>1975</v>
      </c>
      <c r="P51" s="1"/>
      <c r="Q51" s="1"/>
      <c r="R51" s="1"/>
      <c r="S51" s="1" t="s">
        <v>1902</v>
      </c>
      <c r="T51" s="1" t="s">
        <v>1976</v>
      </c>
      <c r="U51" s="1" t="s">
        <v>1977</v>
      </c>
      <c r="V51" s="1" t="s">
        <v>1903</v>
      </c>
      <c r="W51" s="1"/>
    </row>
    <row r="52" ht="14.25" spans="1:25">
      <c r="A52" s="1"/>
      <c r="B52" s="1" t="s">
        <v>1368</v>
      </c>
      <c r="C52" s="1" t="s">
        <v>1369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 t="s">
        <v>1978</v>
      </c>
      <c r="O52" s="1" t="s">
        <v>1979</v>
      </c>
      <c r="P52" s="1"/>
      <c r="Q52" s="1"/>
      <c r="R52" s="1"/>
      <c r="S52" s="1" t="s">
        <v>1980</v>
      </c>
      <c r="T52" s="1" t="s">
        <v>1981</v>
      </c>
      <c r="U52" s="1" t="s">
        <v>1982</v>
      </c>
      <c r="V52" s="1" t="s">
        <v>612</v>
      </c>
      <c r="W52" s="1"/>
      <c r="Y52" t="s">
        <v>1929</v>
      </c>
    </row>
    <row r="53" ht="14.25" spans="1:25">
      <c r="A53" s="1"/>
      <c r="B53" s="1" t="s">
        <v>1372</v>
      </c>
      <c r="C53" s="1" t="s">
        <v>1373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 t="s">
        <v>1983</v>
      </c>
      <c r="O53" s="1" t="s">
        <v>1984</v>
      </c>
      <c r="P53" s="1"/>
      <c r="Q53" s="1"/>
      <c r="R53" s="1"/>
      <c r="S53" s="1" t="s">
        <v>1907</v>
      </c>
      <c r="T53" s="1" t="s">
        <v>1985</v>
      </c>
      <c r="U53" s="1" t="s">
        <v>1986</v>
      </c>
      <c r="V53" s="1" t="s">
        <v>1987</v>
      </c>
      <c r="W53" s="1"/>
      <c r="Y53" t="s">
        <v>1988</v>
      </c>
    </row>
    <row r="54" ht="14.25" spans="1:25">
      <c r="A54" s="1"/>
      <c r="B54" s="1" t="s">
        <v>1199</v>
      </c>
      <c r="C54" s="1" t="s">
        <v>1989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 t="s">
        <v>1990</v>
      </c>
      <c r="O54" s="1" t="s">
        <v>1991</v>
      </c>
      <c r="P54" s="1"/>
      <c r="Q54" s="1"/>
      <c r="R54" s="1"/>
      <c r="S54" s="1" t="s">
        <v>1910</v>
      </c>
      <c r="T54" s="1" t="s">
        <v>1992</v>
      </c>
      <c r="U54" s="1" t="s">
        <v>1993</v>
      </c>
      <c r="V54" s="1" t="s">
        <v>1911</v>
      </c>
      <c r="W54" s="1"/>
      <c r="Y54" t="s">
        <v>1994</v>
      </c>
    </row>
    <row r="55" ht="14.25" spans="1:25">
      <c r="A55" s="1"/>
      <c r="B55" s="1" t="s">
        <v>1229</v>
      </c>
      <c r="C55" s="1" t="s">
        <v>1230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 t="s">
        <v>1995</v>
      </c>
      <c r="O55" s="1" t="s">
        <v>1923</v>
      </c>
      <c r="P55" s="1"/>
      <c r="Q55" s="1"/>
      <c r="R55" s="1"/>
      <c r="S55" s="1" t="s">
        <v>1077</v>
      </c>
      <c r="T55" s="1" t="s">
        <v>1996</v>
      </c>
      <c r="U55" s="1" t="s">
        <v>1997</v>
      </c>
      <c r="V55" s="1" t="s">
        <v>1871</v>
      </c>
      <c r="W55" s="1"/>
      <c r="Y55" t="s">
        <v>1998</v>
      </c>
    </row>
    <row r="56" ht="14.25" spans="1:25">
      <c r="A56" s="1"/>
      <c r="B56" s="1" t="s">
        <v>1135</v>
      </c>
      <c r="C56" s="1" t="s">
        <v>1999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 t="s">
        <v>1098</v>
      </c>
      <c r="P56" s="1"/>
      <c r="Q56" s="1"/>
      <c r="R56" s="1"/>
      <c r="S56" s="1" t="s">
        <v>1918</v>
      </c>
      <c r="T56" s="1" t="s">
        <v>2000</v>
      </c>
      <c r="U56" s="1" t="s">
        <v>2001</v>
      </c>
      <c r="V56" s="1" t="s">
        <v>612</v>
      </c>
      <c r="W56" s="1"/>
      <c r="Y56" t="s">
        <v>2002</v>
      </c>
    </row>
    <row r="57" ht="14.25" spans="1:25">
      <c r="A57" s="1"/>
      <c r="B57" s="1" t="s">
        <v>1314</v>
      </c>
      <c r="C57" s="1" t="s">
        <v>1315</v>
      </c>
      <c r="D57" s="1"/>
      <c r="E57" s="1"/>
      <c r="F57" s="1"/>
      <c r="G57" s="1"/>
      <c r="H57" s="1"/>
      <c r="I57" s="1"/>
      <c r="J57" s="1"/>
      <c r="K57" s="1"/>
      <c r="L57" s="1" t="s">
        <v>1879</v>
      </c>
      <c r="M57" s="1"/>
      <c r="N57" s="1"/>
      <c r="O57" s="1" t="s">
        <v>1163</v>
      </c>
      <c r="P57" s="1"/>
      <c r="Q57" s="1"/>
      <c r="R57" s="1"/>
      <c r="S57" s="1" t="s">
        <v>1080</v>
      </c>
      <c r="T57" s="1" t="s">
        <v>1443</v>
      </c>
      <c r="U57" s="1" t="s">
        <v>2003</v>
      </c>
      <c r="V57" s="1" t="s">
        <v>1876</v>
      </c>
      <c r="W57" s="1"/>
      <c r="Y57" t="s">
        <v>2004</v>
      </c>
    </row>
    <row r="58" ht="14.25" spans="1:25">
      <c r="A58" s="1"/>
      <c r="B58" s="1" t="s">
        <v>1304</v>
      </c>
      <c r="C58" s="1" t="s">
        <v>1305</v>
      </c>
      <c r="D58" s="1"/>
      <c r="E58" s="1"/>
      <c r="F58" s="1"/>
      <c r="G58" s="1"/>
      <c r="H58" s="1"/>
      <c r="I58" s="1"/>
      <c r="J58" s="1"/>
      <c r="K58" s="1"/>
      <c r="L58" s="1" t="s">
        <v>1944</v>
      </c>
      <c r="M58" s="1"/>
      <c r="N58" s="1" t="s">
        <v>1947</v>
      </c>
      <c r="O58" s="1"/>
      <c r="P58" s="1"/>
      <c r="Q58" s="1"/>
      <c r="R58" s="1"/>
      <c r="S58" s="1" t="s">
        <v>1924</v>
      </c>
      <c r="T58" s="1" t="s">
        <v>2005</v>
      </c>
      <c r="U58" s="1" t="s">
        <v>2006</v>
      </c>
      <c r="V58" s="1" t="s">
        <v>1925</v>
      </c>
      <c r="W58" s="1"/>
    </row>
    <row r="59" ht="14.25" spans="1:25">
      <c r="A59" s="1"/>
      <c r="B59" s="1" t="s">
        <v>1453</v>
      </c>
      <c r="C59" s="1" t="s">
        <v>1454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 t="s">
        <v>1857</v>
      </c>
      <c r="O59" s="1"/>
      <c r="P59" s="1"/>
      <c r="Q59" s="1"/>
      <c r="R59" s="1"/>
      <c r="S59" s="1" t="s">
        <v>2007</v>
      </c>
      <c r="T59" s="1" t="s">
        <v>2008</v>
      </c>
      <c r="U59" s="1" t="s">
        <v>2009</v>
      </c>
      <c r="V59" s="1" t="s">
        <v>2010</v>
      </c>
      <c r="W59" s="1"/>
    </row>
    <row r="60" ht="14.25" spans="1:25">
      <c r="A60" s="1"/>
      <c r="B60" s="1" t="s">
        <v>1384</v>
      </c>
      <c r="C60" s="1" t="s">
        <v>1385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 t="s">
        <v>1878</v>
      </c>
      <c r="O60" s="1"/>
      <c r="P60" s="1"/>
      <c r="Q60" s="1"/>
      <c r="R60" s="1"/>
      <c r="S60" s="1" t="s">
        <v>2011</v>
      </c>
      <c r="T60" s="1" t="s">
        <v>2012</v>
      </c>
      <c r="U60" s="1" t="s">
        <v>2013</v>
      </c>
      <c r="V60" s="1" t="s">
        <v>2014</v>
      </c>
      <c r="W60" s="1"/>
    </row>
    <row r="61" ht="14.25" spans="1:25">
      <c r="A61" s="1"/>
      <c r="B61" s="1" t="s">
        <v>1321</v>
      </c>
      <c r="C61" s="1" t="s">
        <v>1291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 t="s">
        <v>2015</v>
      </c>
      <c r="O61" s="1"/>
      <c r="P61" s="1"/>
      <c r="Q61" s="1"/>
      <c r="R61" s="1"/>
      <c r="S61" s="1"/>
      <c r="T61" s="1"/>
      <c r="U61" s="1"/>
      <c r="V61" s="1"/>
      <c r="W61" s="1"/>
    </row>
    <row r="62" ht="14.25" spans="1:25">
      <c r="A62" s="1"/>
      <c r="B62" s="1" t="s">
        <v>1455</v>
      </c>
      <c r="C62" s="1" t="s">
        <v>1456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 t="s">
        <v>2016</v>
      </c>
      <c r="O62" s="1"/>
      <c r="P62" s="1"/>
      <c r="Q62" s="1"/>
      <c r="R62" s="1"/>
      <c r="S62" s="1" t="s">
        <v>336</v>
      </c>
      <c r="T62" s="1" t="s">
        <v>1956</v>
      </c>
      <c r="U62" s="1" t="s">
        <v>1957</v>
      </c>
      <c r="V62" s="1" t="s">
        <v>1958</v>
      </c>
      <c r="W62" s="1"/>
    </row>
    <row r="63" ht="14.25" spans="1:25">
      <c r="A63" s="1"/>
      <c r="B63" s="1" t="s">
        <v>1457</v>
      </c>
      <c r="C63" s="1" t="s">
        <v>1458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 t="s">
        <v>1172</v>
      </c>
      <c r="T63" s="1" t="s">
        <v>1185</v>
      </c>
      <c r="U63" s="1" t="s">
        <v>2017</v>
      </c>
      <c r="V63" s="1" t="s">
        <v>2018</v>
      </c>
      <c r="W63" s="1"/>
    </row>
    <row r="64" ht="14.25" spans="1:25">
      <c r="A64" s="1"/>
      <c r="B64" s="1" t="s">
        <v>1378</v>
      </c>
      <c r="C64" s="1" t="s">
        <v>1459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 t="s">
        <v>2019</v>
      </c>
      <c r="T64" s="1" t="s">
        <v>1443</v>
      </c>
      <c r="U64" s="1" t="s">
        <v>2020</v>
      </c>
      <c r="V64" s="1" t="s">
        <v>2021</v>
      </c>
      <c r="W64" s="1"/>
    </row>
    <row r="65" ht="14.25" spans="1:23">
      <c r="A65" s="1"/>
      <c r="B65" s="1" t="s">
        <v>1361</v>
      </c>
      <c r="C65" s="1" t="s">
        <v>1362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 t="s">
        <v>2022</v>
      </c>
      <c r="O65" s="1"/>
      <c r="P65" s="1"/>
      <c r="Q65" s="1"/>
      <c r="R65" s="1"/>
      <c r="S65" s="1" t="s">
        <v>2023</v>
      </c>
      <c r="T65" s="1" t="s">
        <v>2024</v>
      </c>
      <c r="U65" s="1" t="s">
        <v>2025</v>
      </c>
      <c r="V65" s="1" t="s">
        <v>2026</v>
      </c>
      <c r="W65" s="1"/>
    </row>
    <row r="66" ht="14.25" spans="1:23">
      <c r="A66" s="1"/>
      <c r="B66" s="1" t="s">
        <v>1364</v>
      </c>
      <c r="C66" s="1" t="s">
        <v>1365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 t="s">
        <v>2027</v>
      </c>
      <c r="T66" s="1" t="s">
        <v>2028</v>
      </c>
      <c r="U66" s="1" t="s">
        <v>2029</v>
      </c>
      <c r="V66" s="1" t="s">
        <v>583</v>
      </c>
      <c r="W66" s="1"/>
    </row>
    <row r="67" ht="14.25" spans="1:23">
      <c r="A67" s="1"/>
      <c r="B67" s="1" t="s">
        <v>1308</v>
      </c>
      <c r="C67" s="1" t="s">
        <v>1309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 t="s">
        <v>2030</v>
      </c>
      <c r="T67" s="1" t="s">
        <v>2031</v>
      </c>
      <c r="U67" s="1" t="s">
        <v>2032</v>
      </c>
      <c r="V67" s="1" t="s">
        <v>2033</v>
      </c>
      <c r="W67" s="1"/>
    </row>
    <row r="68" ht="14.25" spans="1:23">
      <c r="A68" s="1"/>
      <c r="B68" s="1" t="s">
        <v>1380</v>
      </c>
      <c r="C68" s="1" t="s">
        <v>1381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 t="s">
        <v>2034</v>
      </c>
      <c r="T68" s="1" t="s">
        <v>2035</v>
      </c>
      <c r="U68" s="1" t="s">
        <v>2036</v>
      </c>
      <c r="V68" s="1" t="s">
        <v>1911</v>
      </c>
      <c r="W68" s="1"/>
    </row>
    <row r="69" ht="14.25" spans="1:23">
      <c r="A69" s="1"/>
      <c r="B69" s="1" t="s">
        <v>1388</v>
      </c>
      <c r="C69" s="1" t="s">
        <v>1389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 t="s">
        <v>2037</v>
      </c>
      <c r="T69" s="1" t="s">
        <v>2038</v>
      </c>
      <c r="U69" s="1" t="s">
        <v>2039</v>
      </c>
      <c r="V69" s="1" t="s">
        <v>2040</v>
      </c>
      <c r="W69" s="1"/>
    </row>
    <row r="70" ht="14.25" spans="1:23">
      <c r="A70" s="1"/>
      <c r="B70" s="1" t="s">
        <v>1297</v>
      </c>
      <c r="C70" s="1" t="s">
        <v>1298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 t="s">
        <v>2041</v>
      </c>
      <c r="O70" s="1"/>
      <c r="P70" s="1"/>
      <c r="Q70" s="1"/>
      <c r="R70" s="1"/>
      <c r="S70" s="1" t="s">
        <v>2042</v>
      </c>
      <c r="T70" s="1" t="s">
        <v>2043</v>
      </c>
      <c r="U70" s="1" t="s">
        <v>2044</v>
      </c>
      <c r="V70" s="1" t="s">
        <v>615</v>
      </c>
      <c r="W70" s="1"/>
    </row>
    <row r="71" ht="14.25" spans="1:23">
      <c r="A71" s="1"/>
      <c r="B71" s="1" t="s">
        <v>1444</v>
      </c>
      <c r="C71" s="1" t="s">
        <v>1445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4.25" spans="1:23">
      <c r="A72" s="1"/>
      <c r="B72" s="1" t="s">
        <v>1446</v>
      </c>
      <c r="C72" s="1" t="s">
        <v>1447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 t="s">
        <v>2045</v>
      </c>
      <c r="T72" s="1"/>
      <c r="U72" s="1"/>
      <c r="V72" s="1"/>
      <c r="W72" s="1"/>
    </row>
    <row r="73" ht="14.25" spans="1:23">
      <c r="A73" s="1"/>
      <c r="B73" s="1" t="s">
        <v>1170</v>
      </c>
      <c r="C73" s="1" t="s">
        <v>1171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4.25" spans="1:23">
      <c r="A74" s="1"/>
      <c r="B74" s="1" t="s">
        <v>1449</v>
      </c>
      <c r="C74" s="1" t="s">
        <v>1450</v>
      </c>
      <c r="D74" s="1"/>
      <c r="E74" s="1"/>
      <c r="F74" s="1"/>
      <c r="G74" s="1"/>
      <c r="H74" s="1"/>
      <c r="I74" s="1"/>
      <c r="J74" s="1" t="s">
        <v>2046</v>
      </c>
      <c r="K74" s="1"/>
      <c r="L74" s="1"/>
      <c r="M74" s="1"/>
      <c r="N74" s="1"/>
      <c r="O74" s="1"/>
      <c r="P74" s="1"/>
      <c r="Q74" s="1"/>
      <c r="R74" s="1"/>
      <c r="S74" s="1" t="s">
        <v>2047</v>
      </c>
      <c r="T74" s="1"/>
      <c r="U74" s="1"/>
      <c r="V74" s="1"/>
      <c r="W74" s="1"/>
    </row>
    <row r="75" ht="14.25" spans="1:23">
      <c r="A75" s="1"/>
      <c r="B75" s="1" t="s">
        <v>1451</v>
      </c>
      <c r="C75" s="1" t="s">
        <v>1452</v>
      </c>
      <c r="D75" s="1"/>
      <c r="E75" s="1"/>
      <c r="F75" s="1"/>
      <c r="G75" s="1"/>
      <c r="H75" s="1"/>
      <c r="I75" s="1"/>
      <c r="J75" s="1" t="s">
        <v>2048</v>
      </c>
      <c r="K75" s="1"/>
      <c r="L75" s="1"/>
      <c r="M75" s="1"/>
      <c r="N75" s="1"/>
      <c r="O75" s="1"/>
      <c r="P75" s="1"/>
      <c r="Q75" s="1"/>
      <c r="R75" s="1"/>
      <c r="S75" s="1" t="s">
        <v>2049</v>
      </c>
      <c r="T75" s="1"/>
      <c r="U75" s="1"/>
      <c r="V75" s="1"/>
      <c r="W75" s="1"/>
    </row>
    <row r="76" ht="14.25" spans="1:23">
      <c r="A76" s="1"/>
      <c r="B76" s="1" t="s">
        <v>1325</v>
      </c>
      <c r="C76" s="1" t="s">
        <v>1326</v>
      </c>
      <c r="D76" s="1"/>
      <c r="E76" s="1"/>
      <c r="F76" s="1"/>
      <c r="G76" s="1"/>
      <c r="H76" s="1"/>
      <c r="I76" s="1"/>
      <c r="J76" s="1" t="s">
        <v>2050</v>
      </c>
      <c r="K76" s="1"/>
      <c r="L76" s="1"/>
      <c r="M76" s="1"/>
      <c r="N76" s="1"/>
      <c r="O76" s="1"/>
      <c r="P76" s="1"/>
      <c r="Q76" s="1"/>
      <c r="R76" s="1"/>
      <c r="S76" s="1" t="s">
        <v>2051</v>
      </c>
      <c r="T76" s="1"/>
      <c r="U76" s="1"/>
      <c r="V76" s="1"/>
      <c r="W76" s="1"/>
    </row>
    <row r="77" ht="14.25" spans="1:23">
      <c r="A77" s="1"/>
      <c r="B77" s="1" t="s">
        <v>705</v>
      </c>
      <c r="C77" s="1" t="s">
        <v>1328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 t="s">
        <v>2052</v>
      </c>
      <c r="T77" s="1"/>
      <c r="U77" s="1"/>
      <c r="V77" s="1"/>
      <c r="W77" s="1"/>
    </row>
    <row r="78" ht="14.25" spans="1:23">
      <c r="A78" s="1"/>
      <c r="B78" s="1" t="s">
        <v>1108</v>
      </c>
      <c r="C78" s="1" t="s">
        <v>1109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 t="s">
        <v>2053</v>
      </c>
      <c r="T78" s="1"/>
      <c r="U78" s="1"/>
      <c r="V78" s="1"/>
      <c r="W78" s="1"/>
    </row>
    <row r="79" ht="14.25" spans="1:23">
      <c r="A79" s="1"/>
      <c r="B79" s="1" t="s">
        <v>1335</v>
      </c>
      <c r="C79" s="1" t="s">
        <v>1336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 t="s">
        <v>2054</v>
      </c>
      <c r="T79" s="1"/>
      <c r="U79" s="1"/>
      <c r="V79" s="1"/>
      <c r="W79" s="1"/>
    </row>
    <row r="80" ht="14.25" spans="1:23">
      <c r="A80" s="1"/>
      <c r="B80" s="1" t="s">
        <v>1340</v>
      </c>
      <c r="C80" s="1" t="s">
        <v>1341</v>
      </c>
      <c r="D80" s="1"/>
      <c r="E80" s="1"/>
      <c r="F80" s="1"/>
      <c r="G80" s="1"/>
      <c r="H80" s="1"/>
      <c r="I80" s="1"/>
      <c r="J80" s="1" t="s">
        <v>2055</v>
      </c>
      <c r="K80" s="1"/>
      <c r="L80" s="1" t="s">
        <v>2056</v>
      </c>
      <c r="M80" s="1"/>
      <c r="N80" s="1"/>
      <c r="O80" s="1"/>
      <c r="P80" s="1"/>
      <c r="Q80" s="1"/>
      <c r="R80" s="1"/>
      <c r="S80" s="1" t="s">
        <v>2057</v>
      </c>
      <c r="T80" s="1"/>
      <c r="U80" s="1"/>
      <c r="V80" s="1"/>
      <c r="W80" s="1"/>
    </row>
    <row r="81" ht="14.25" spans="1:23">
      <c r="A81" s="1"/>
      <c r="B81" s="1" t="s">
        <v>1343</v>
      </c>
      <c r="C81" s="1" t="s">
        <v>1344</v>
      </c>
      <c r="D81" s="1"/>
      <c r="E81" s="1"/>
      <c r="F81" s="1"/>
      <c r="G81" s="1"/>
      <c r="H81" s="1"/>
      <c r="I81" s="1"/>
      <c r="J81" s="1" t="s">
        <v>336</v>
      </c>
      <c r="K81" s="1" t="s">
        <v>2058</v>
      </c>
      <c r="L81" s="1" t="s">
        <v>2059</v>
      </c>
      <c r="M81" s="1"/>
      <c r="N81" s="1"/>
      <c r="O81" s="1"/>
      <c r="P81" s="1"/>
      <c r="Q81" s="1"/>
      <c r="R81" s="1"/>
      <c r="S81" s="1" t="s">
        <v>2060</v>
      </c>
      <c r="T81" s="1"/>
      <c r="U81" s="1"/>
      <c r="V81" s="1"/>
      <c r="W81" s="1"/>
    </row>
    <row r="82" ht="14.25" spans="1:23">
      <c r="A82" s="1"/>
      <c r="B82" s="1" t="s">
        <v>1165</v>
      </c>
      <c r="C82" s="1" t="s">
        <v>2061</v>
      </c>
      <c r="D82" s="1"/>
      <c r="E82" s="1"/>
      <c r="F82" s="1"/>
      <c r="G82" s="1"/>
      <c r="H82" s="1"/>
      <c r="I82" s="1"/>
      <c r="J82" s="1" t="s">
        <v>1172</v>
      </c>
      <c r="K82" s="1" t="s">
        <v>1444</v>
      </c>
      <c r="L82" s="1" t="s">
        <v>2062</v>
      </c>
      <c r="M82" s="1"/>
      <c r="N82" s="1"/>
      <c r="O82" s="1"/>
      <c r="P82" s="1"/>
      <c r="Q82" s="1"/>
      <c r="R82" s="1"/>
      <c r="S82" s="1" t="s">
        <v>2063</v>
      </c>
      <c r="T82" s="1"/>
      <c r="U82" s="1"/>
      <c r="V82" s="1"/>
      <c r="W82" s="1"/>
    </row>
    <row r="83" ht="14.25" spans="1:23">
      <c r="A83" s="1"/>
      <c r="B83" s="1" t="s">
        <v>1348</v>
      </c>
      <c r="C83" s="1" t="s">
        <v>1349</v>
      </c>
      <c r="D83" s="1"/>
      <c r="E83" s="1"/>
      <c r="F83" s="1"/>
      <c r="G83" s="1"/>
      <c r="H83" s="1"/>
      <c r="I83" s="1"/>
      <c r="J83" s="1" t="s">
        <v>1875</v>
      </c>
      <c r="K83" s="1" t="s">
        <v>2064</v>
      </c>
      <c r="L83" s="1" t="s">
        <v>2065</v>
      </c>
      <c r="M83" s="1"/>
      <c r="N83" s="1"/>
      <c r="O83" s="1"/>
      <c r="P83" s="1"/>
      <c r="Q83" s="1"/>
      <c r="R83" s="1"/>
      <c r="S83" s="1" t="s">
        <v>2066</v>
      </c>
      <c r="T83" s="1"/>
      <c r="U83" s="1"/>
      <c r="V83" s="1"/>
      <c r="W83" s="1"/>
    </row>
    <row r="84" ht="14.25" spans="1:23">
      <c r="A84" s="1"/>
      <c r="B84" s="1" t="s">
        <v>1123</v>
      </c>
      <c r="C84" s="1" t="s">
        <v>1124</v>
      </c>
      <c r="D84" s="1"/>
      <c r="E84" s="1"/>
      <c r="F84" s="1"/>
      <c r="G84" s="1"/>
      <c r="H84" s="1"/>
      <c r="I84" s="1"/>
      <c r="J84" s="1" t="s">
        <v>1179</v>
      </c>
      <c r="K84" s="1" t="s">
        <v>2067</v>
      </c>
      <c r="L84" s="1" t="s">
        <v>2068</v>
      </c>
      <c r="M84" s="1"/>
      <c r="N84" s="1"/>
      <c r="O84" s="1"/>
      <c r="P84" s="1"/>
      <c r="Q84" s="1"/>
      <c r="R84" s="1"/>
      <c r="S84" s="1" t="s">
        <v>2069</v>
      </c>
      <c r="T84" s="1"/>
      <c r="U84" s="1"/>
      <c r="V84" s="1"/>
      <c r="W84" s="1"/>
    </row>
    <row r="85" ht="14.25" spans="1:23">
      <c r="A85" s="1"/>
      <c r="B85" s="1" t="s">
        <v>1351</v>
      </c>
      <c r="C85" s="1" t="s">
        <v>1352</v>
      </c>
      <c r="D85" s="1"/>
      <c r="E85" s="1"/>
      <c r="F85" s="1"/>
      <c r="G85" s="1"/>
      <c r="H85" s="1"/>
      <c r="I85" s="1"/>
      <c r="J85" s="1" t="s">
        <v>1183</v>
      </c>
      <c r="K85" s="1" t="s">
        <v>2070</v>
      </c>
      <c r="L85" s="1" t="s">
        <v>2071</v>
      </c>
      <c r="M85" s="1"/>
      <c r="N85" s="1"/>
      <c r="O85" s="1"/>
      <c r="P85" s="1"/>
      <c r="Q85" s="1"/>
      <c r="R85" s="1"/>
      <c r="S85" s="1" t="s">
        <v>2072</v>
      </c>
      <c r="T85" s="1"/>
      <c r="U85" s="1"/>
      <c r="V85" s="1"/>
      <c r="W85" s="1"/>
    </row>
    <row r="86" ht="14.25" spans="1:23">
      <c r="A86" s="1"/>
      <c r="B86" s="1" t="s">
        <v>1006</v>
      </c>
      <c r="C86" s="1" t="s">
        <v>1353</v>
      </c>
      <c r="D86" s="1"/>
      <c r="E86" s="1"/>
      <c r="F86" s="1"/>
      <c r="G86" s="1"/>
      <c r="H86" s="1"/>
      <c r="I86" s="1"/>
      <c r="J86" s="1" t="s">
        <v>1186</v>
      </c>
      <c r="K86" s="1" t="s">
        <v>2073</v>
      </c>
      <c r="L86" s="1"/>
      <c r="M86" s="1"/>
      <c r="N86" s="1"/>
      <c r="O86" s="1"/>
      <c r="P86" s="1"/>
      <c r="Q86" s="1"/>
      <c r="R86" s="1"/>
      <c r="S86" s="1" t="s">
        <v>2074</v>
      </c>
      <c r="T86" s="1"/>
      <c r="U86" s="1"/>
      <c r="V86" s="1"/>
      <c r="W86" s="1"/>
    </row>
    <row r="87" ht="14.25" spans="1:23">
      <c r="A87" s="1"/>
      <c r="B87" s="1" t="s">
        <v>1354</v>
      </c>
      <c r="C87" s="1" t="s">
        <v>1355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 t="s">
        <v>2075</v>
      </c>
      <c r="T87" s="1"/>
      <c r="U87" s="1"/>
      <c r="V87" s="1"/>
      <c r="W87" s="1"/>
    </row>
    <row r="88" ht="14.25" spans="1:23">
      <c r="A88" s="1"/>
      <c r="B88" s="1" t="s">
        <v>1356</v>
      </c>
      <c r="C88" s="1" t="s">
        <v>1357</v>
      </c>
      <c r="D88" s="1"/>
      <c r="E88" s="1"/>
      <c r="F88" s="1"/>
      <c r="G88" s="1"/>
      <c r="H88" s="1"/>
      <c r="I88" s="1"/>
      <c r="J88" s="1" t="s">
        <v>2076</v>
      </c>
      <c r="K88" s="1"/>
      <c r="L88" s="1" t="s">
        <v>2056</v>
      </c>
      <c r="M88" s="1"/>
      <c r="N88" s="1"/>
      <c r="O88" s="1"/>
      <c r="P88" s="1"/>
      <c r="Q88" s="1"/>
      <c r="R88" s="1"/>
      <c r="S88" s="1" t="s">
        <v>2077</v>
      </c>
      <c r="T88" s="1"/>
      <c r="U88" s="1"/>
      <c r="V88" s="1"/>
      <c r="W88" s="1"/>
    </row>
    <row r="89" ht="14.25" spans="1:23">
      <c r="A89" s="1"/>
      <c r="B89" s="1" t="s">
        <v>1358</v>
      </c>
      <c r="C89" s="1" t="s">
        <v>1359</v>
      </c>
      <c r="D89" s="1"/>
      <c r="E89" s="1"/>
      <c r="F89" s="1"/>
      <c r="G89" s="1"/>
      <c r="H89" s="1"/>
      <c r="I89" s="1"/>
      <c r="J89" s="1" t="s">
        <v>336</v>
      </c>
      <c r="K89" s="1" t="s">
        <v>2058</v>
      </c>
      <c r="L89" s="1" t="s">
        <v>2078</v>
      </c>
      <c r="M89" s="1"/>
      <c r="N89" s="1"/>
      <c r="O89" s="1"/>
      <c r="P89" s="1"/>
      <c r="Q89" s="1"/>
      <c r="R89" s="1"/>
      <c r="S89" s="1" t="s">
        <v>2079</v>
      </c>
      <c r="T89" s="1"/>
      <c r="U89" s="1"/>
      <c r="V89" s="1"/>
      <c r="W89" s="1"/>
    </row>
    <row r="90" ht="14.25" spans="1:23">
      <c r="A90" s="1"/>
      <c r="B90" s="1" t="s">
        <v>1254</v>
      </c>
      <c r="C90" s="1" t="s">
        <v>2080</v>
      </c>
      <c r="D90" s="1"/>
      <c r="E90" s="1"/>
      <c r="F90" s="1"/>
      <c r="G90" s="1"/>
      <c r="H90" s="1"/>
      <c r="I90" s="1"/>
      <c r="J90" s="1" t="s">
        <v>1879</v>
      </c>
      <c r="K90" s="1" t="s">
        <v>2081</v>
      </c>
      <c r="L90" s="1" t="s">
        <v>2082</v>
      </c>
      <c r="M90" s="1"/>
      <c r="N90" s="1"/>
      <c r="O90" s="1"/>
      <c r="P90" s="1"/>
      <c r="Q90" s="1"/>
      <c r="R90" s="1"/>
      <c r="S90" s="1" t="s">
        <v>2083</v>
      </c>
      <c r="T90" s="1"/>
      <c r="U90" s="1"/>
      <c r="V90" s="1"/>
      <c r="W90" s="1"/>
    </row>
    <row r="91" ht="14.25" spans="1:23">
      <c r="A91" s="1"/>
      <c r="B91" s="1" t="s">
        <v>1246</v>
      </c>
      <c r="C91" s="1" t="s">
        <v>1247</v>
      </c>
      <c r="D91" s="1"/>
      <c r="E91" s="1"/>
      <c r="F91" s="1"/>
      <c r="G91" s="1"/>
      <c r="H91" s="1"/>
      <c r="I91" s="1"/>
      <c r="J91" s="1" t="s">
        <v>1117</v>
      </c>
      <c r="K91" s="1" t="s">
        <v>2084</v>
      </c>
      <c r="L91" s="1" t="s">
        <v>2085</v>
      </c>
      <c r="M91" s="1"/>
      <c r="N91" s="1"/>
      <c r="O91" s="1"/>
      <c r="P91" s="1"/>
      <c r="Q91" s="1"/>
      <c r="R91" s="1"/>
      <c r="S91" s="1" t="s">
        <v>2086</v>
      </c>
      <c r="T91" s="1"/>
      <c r="U91" s="1"/>
      <c r="V91" s="1"/>
      <c r="W91" s="1"/>
    </row>
    <row r="92" ht="14.25" spans="1:23">
      <c r="A92" s="1"/>
      <c r="B92" s="1" t="s">
        <v>759</v>
      </c>
      <c r="C92" s="1" t="s">
        <v>1363</v>
      </c>
      <c r="D92" s="1"/>
      <c r="E92" s="1"/>
      <c r="F92" s="1"/>
      <c r="G92" s="1"/>
      <c r="H92" s="1"/>
      <c r="I92" s="1"/>
      <c r="J92" s="1" t="s">
        <v>1939</v>
      </c>
      <c r="K92" s="1" t="s">
        <v>2087</v>
      </c>
      <c r="L92" s="1" t="s">
        <v>2088</v>
      </c>
      <c r="M92" s="1"/>
      <c r="N92" s="1"/>
      <c r="O92" s="1"/>
      <c r="P92" s="1"/>
      <c r="Q92" s="1"/>
      <c r="R92" s="1"/>
      <c r="S92" s="1" t="s">
        <v>2089</v>
      </c>
      <c r="T92" s="1"/>
      <c r="U92" s="1"/>
      <c r="V92" s="1"/>
      <c r="W92" s="1"/>
    </row>
    <row r="93" ht="14.25" spans="1:23">
      <c r="A93" s="1"/>
      <c r="B93" s="1" t="s">
        <v>1366</v>
      </c>
      <c r="C93" s="1" t="s">
        <v>1367</v>
      </c>
      <c r="D93" s="1"/>
      <c r="E93" s="1"/>
      <c r="F93" s="1"/>
      <c r="G93" s="1"/>
      <c r="H93" s="1"/>
      <c r="I93" s="1"/>
      <c r="J93" s="1" t="s">
        <v>1901</v>
      </c>
      <c r="K93" s="1" t="s">
        <v>2090</v>
      </c>
      <c r="L93" s="1" t="s">
        <v>2091</v>
      </c>
      <c r="M93" s="1"/>
      <c r="N93" s="1"/>
      <c r="O93" s="1"/>
      <c r="P93" s="1"/>
      <c r="Q93" s="1"/>
      <c r="R93" s="1"/>
      <c r="S93" s="1" t="s">
        <v>2092</v>
      </c>
      <c r="T93" s="1"/>
      <c r="U93" s="1"/>
      <c r="V93" s="1"/>
      <c r="W93" s="1"/>
    </row>
    <row r="94" ht="14.25" spans="1:23">
      <c r="A94" s="1"/>
      <c r="B94" s="1" t="s">
        <v>1370</v>
      </c>
      <c r="C94" s="1" t="s">
        <v>1371</v>
      </c>
      <c r="D94" s="1"/>
      <c r="E94" s="1"/>
      <c r="F94" s="1"/>
      <c r="G94" s="1"/>
      <c r="H94" s="1"/>
      <c r="I94" s="1"/>
      <c r="J94" s="1" t="s">
        <v>1934</v>
      </c>
      <c r="K94" s="1" t="s">
        <v>2093</v>
      </c>
      <c r="L94" s="1"/>
      <c r="M94" s="1"/>
      <c r="N94" s="1"/>
      <c r="O94" s="1"/>
      <c r="P94" s="1"/>
      <c r="Q94" s="1"/>
      <c r="R94" s="1"/>
      <c r="S94" s="1" t="s">
        <v>2094</v>
      </c>
      <c r="T94" s="1"/>
      <c r="U94" s="1"/>
      <c r="V94" s="1"/>
      <c r="W94" s="1"/>
    </row>
    <row r="95" ht="14.25" spans="1:23">
      <c r="A95" s="1"/>
      <c r="B95" s="1" t="s">
        <v>1374</v>
      </c>
      <c r="C95" s="1" t="s">
        <v>1375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 t="s">
        <v>2095</v>
      </c>
      <c r="T95" s="1"/>
      <c r="U95" s="1"/>
      <c r="V95" s="1"/>
      <c r="W95" s="1"/>
    </row>
    <row r="96" ht="14.25" spans="1:23">
      <c r="A96" s="1"/>
      <c r="B96" s="1" t="s">
        <v>1378</v>
      </c>
      <c r="C96" s="1" t="s">
        <v>1379</v>
      </c>
      <c r="D96" s="1"/>
      <c r="E96" s="1"/>
      <c r="F96" s="1"/>
      <c r="G96" s="1"/>
      <c r="H96" s="1"/>
      <c r="I96" s="1"/>
      <c r="J96" s="1" t="s">
        <v>2096</v>
      </c>
      <c r="K96" s="1"/>
      <c r="L96" s="1" t="s">
        <v>2056</v>
      </c>
      <c r="M96" s="1"/>
      <c r="N96" s="1"/>
      <c r="O96" s="1"/>
      <c r="P96" s="1"/>
      <c r="Q96" s="1"/>
      <c r="R96" s="1"/>
      <c r="S96" s="1" t="s">
        <v>2097</v>
      </c>
      <c r="T96" s="1"/>
      <c r="U96" s="1"/>
      <c r="V96" s="1"/>
      <c r="W96" s="1"/>
    </row>
    <row r="97" ht="14.25" spans="1:23">
      <c r="A97" s="1"/>
      <c r="B97" s="1" t="s">
        <v>1382</v>
      </c>
      <c r="C97" s="1" t="s">
        <v>1383</v>
      </c>
      <c r="D97" s="1"/>
      <c r="E97" s="1"/>
      <c r="F97" s="1"/>
      <c r="G97" s="1"/>
      <c r="H97" s="1"/>
      <c r="I97" s="1"/>
      <c r="J97" s="1" t="s">
        <v>336</v>
      </c>
      <c r="K97" s="1" t="s">
        <v>2058</v>
      </c>
      <c r="L97" s="1" t="s">
        <v>2098</v>
      </c>
      <c r="M97" s="1"/>
      <c r="N97" s="1"/>
      <c r="O97" s="1"/>
      <c r="P97" s="1"/>
      <c r="Q97" s="1"/>
      <c r="R97" s="1"/>
      <c r="S97" s="1" t="s">
        <v>2099</v>
      </c>
      <c r="T97" s="1"/>
      <c r="U97" s="1"/>
      <c r="V97" s="1"/>
      <c r="W97" s="1"/>
    </row>
    <row r="98" ht="14.25" spans="1:23">
      <c r="A98" s="1"/>
      <c r="B98" s="1" t="s">
        <v>1386</v>
      </c>
      <c r="C98" s="1" t="s">
        <v>1387</v>
      </c>
      <c r="D98" s="1"/>
      <c r="E98" s="1"/>
      <c r="F98" s="1"/>
      <c r="G98" s="1"/>
      <c r="H98" s="1"/>
      <c r="I98" s="1"/>
      <c r="J98" s="1" t="s">
        <v>1880</v>
      </c>
      <c r="K98" s="1" t="s">
        <v>2100</v>
      </c>
      <c r="L98" s="1" t="s">
        <v>2101</v>
      </c>
      <c r="M98" s="1"/>
      <c r="N98" s="1"/>
      <c r="O98" s="1"/>
      <c r="P98" s="1"/>
      <c r="Q98" s="1"/>
      <c r="R98" s="1"/>
      <c r="S98" s="1" t="s">
        <v>2102</v>
      </c>
      <c r="T98" s="1"/>
      <c r="U98" s="1"/>
      <c r="V98" s="1"/>
      <c r="W98" s="1"/>
    </row>
    <row r="99" ht="14.25" spans="1:23">
      <c r="A99" s="1"/>
      <c r="B99" s="1" t="s">
        <v>1390</v>
      </c>
      <c r="C99" s="1" t="s">
        <v>1391</v>
      </c>
      <c r="D99" s="1"/>
      <c r="E99" s="1"/>
      <c r="F99" s="1"/>
      <c r="G99" s="1"/>
      <c r="H99" s="1"/>
      <c r="I99" s="1"/>
      <c r="J99" s="1" t="s">
        <v>1883</v>
      </c>
      <c r="K99" s="1" t="s">
        <v>2103</v>
      </c>
      <c r="L99" s="1" t="s">
        <v>2104</v>
      </c>
      <c r="M99" s="1"/>
      <c r="N99" s="1"/>
      <c r="O99" s="1"/>
      <c r="P99" s="1"/>
      <c r="Q99" s="1"/>
      <c r="R99" s="1"/>
      <c r="S99" s="1" t="s">
        <v>2105</v>
      </c>
      <c r="T99" s="1"/>
      <c r="U99" s="1"/>
      <c r="V99" s="1"/>
      <c r="W99" s="1"/>
    </row>
    <row r="100" ht="14.25" spans="1:23">
      <c r="A100" s="1"/>
      <c r="B100" s="1" t="s">
        <v>1250</v>
      </c>
      <c r="C100" s="1" t="s">
        <v>1251</v>
      </c>
      <c r="D100" s="1"/>
      <c r="E100" s="1"/>
      <c r="F100" s="1"/>
      <c r="G100" s="1"/>
      <c r="H100" s="1"/>
      <c r="I100" s="1"/>
      <c r="J100" s="1" t="s">
        <v>1141</v>
      </c>
      <c r="K100" s="1" t="s">
        <v>2106</v>
      </c>
      <c r="L100" s="1" t="s">
        <v>2107</v>
      </c>
      <c r="M100" s="1"/>
      <c r="N100" s="1"/>
      <c r="O100" s="1"/>
      <c r="P100" s="1"/>
      <c r="Q100" s="1"/>
      <c r="R100" s="1"/>
      <c r="S100" s="1" t="s">
        <v>2108</v>
      </c>
      <c r="T100" s="1"/>
      <c r="U100" s="1"/>
      <c r="V100" s="1"/>
      <c r="W100" s="1"/>
    </row>
    <row r="101" ht="14.25" spans="1:23">
      <c r="A101" s="1"/>
      <c r="B101" s="1" t="s">
        <v>1394</v>
      </c>
      <c r="C101" s="1" t="s">
        <v>1395</v>
      </c>
      <c r="D101" s="1"/>
      <c r="E101" s="1"/>
      <c r="F101" s="1"/>
      <c r="G101" s="1"/>
      <c r="H101" s="1"/>
      <c r="I101" s="1"/>
      <c r="J101" s="1" t="s">
        <v>1909</v>
      </c>
      <c r="K101" s="1" t="s">
        <v>2109</v>
      </c>
      <c r="L101" s="1" t="s">
        <v>2110</v>
      </c>
      <c r="M101" s="1"/>
      <c r="N101" s="1"/>
      <c r="O101" s="1"/>
      <c r="P101" s="1"/>
      <c r="Q101" s="1"/>
      <c r="R101" s="1"/>
      <c r="S101" s="1" t="s">
        <v>2111</v>
      </c>
      <c r="T101" s="1"/>
      <c r="U101" s="1"/>
      <c r="V101" s="1"/>
      <c r="W101" s="1"/>
    </row>
    <row r="102" ht="14.25" spans="1:23">
      <c r="A102" s="1"/>
      <c r="B102" s="1" t="s">
        <v>1396</v>
      </c>
      <c r="C102" s="1" t="s">
        <v>1397</v>
      </c>
      <c r="D102" s="1"/>
      <c r="E102" s="1"/>
      <c r="F102" s="1"/>
      <c r="G102" s="1"/>
      <c r="H102" s="1"/>
      <c r="I102" s="1"/>
      <c r="J102" s="1" t="s">
        <v>1920</v>
      </c>
      <c r="K102" s="1" t="s">
        <v>2112</v>
      </c>
      <c r="L102" s="1"/>
      <c r="M102" s="1"/>
      <c r="N102" s="1"/>
      <c r="O102" s="1"/>
      <c r="P102" s="1"/>
      <c r="Q102" s="1"/>
      <c r="R102" s="1"/>
      <c r="S102" s="1" t="s">
        <v>2113</v>
      </c>
      <c r="T102" s="1"/>
      <c r="U102" s="1"/>
      <c r="V102" s="1"/>
      <c r="W102" s="1"/>
    </row>
    <row r="103" ht="14.25" spans="1:23">
      <c r="A103" s="1"/>
      <c r="B103" s="1" t="s">
        <v>1399</v>
      </c>
      <c r="C103" s="1" t="s">
        <v>1400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 t="s">
        <v>2114</v>
      </c>
      <c r="T103" s="1"/>
      <c r="U103" s="1"/>
      <c r="V103" s="1"/>
      <c r="W103" s="1"/>
    </row>
    <row r="104" ht="14.25" spans="1:23">
      <c r="A104" s="1"/>
      <c r="B104" s="1" t="s">
        <v>1402</v>
      </c>
      <c r="C104" s="1" t="s">
        <v>1403</v>
      </c>
      <c r="D104" s="1"/>
      <c r="E104" s="1"/>
      <c r="F104" s="1"/>
      <c r="G104" s="1"/>
      <c r="H104" s="1"/>
      <c r="I104" s="1"/>
      <c r="J104" s="1" t="s">
        <v>2115</v>
      </c>
      <c r="K104" s="1"/>
      <c r="L104" s="1" t="s">
        <v>2056</v>
      </c>
      <c r="M104" s="1"/>
      <c r="N104" s="1"/>
      <c r="O104" s="1"/>
      <c r="P104" s="1"/>
      <c r="Q104" s="1"/>
      <c r="R104" s="1"/>
      <c r="S104" s="1" t="s">
        <v>2116</v>
      </c>
      <c r="T104" s="1"/>
      <c r="U104" s="1"/>
      <c r="V104" s="1"/>
      <c r="W104" s="1"/>
    </row>
    <row r="105" ht="14.25" spans="1:23">
      <c r="A105" s="1"/>
      <c r="B105" s="1" t="s">
        <v>1404</v>
      </c>
      <c r="C105" s="1" t="s">
        <v>1405</v>
      </c>
      <c r="D105" s="1"/>
      <c r="E105" s="1"/>
      <c r="F105" s="1"/>
      <c r="G105" s="1"/>
      <c r="H105" s="1"/>
      <c r="I105" s="1"/>
      <c r="J105" s="1" t="s">
        <v>336</v>
      </c>
      <c r="K105" s="1" t="s">
        <v>2058</v>
      </c>
      <c r="L105" s="1" t="s">
        <v>2117</v>
      </c>
      <c r="M105" s="1"/>
      <c r="N105" s="1"/>
      <c r="O105" s="1"/>
      <c r="P105" s="1"/>
      <c r="Q105" s="1"/>
      <c r="R105" s="1"/>
      <c r="S105" s="1" t="s">
        <v>2118</v>
      </c>
      <c r="T105" s="1"/>
      <c r="U105" s="1"/>
      <c r="V105" s="1"/>
      <c r="W105" s="1"/>
    </row>
    <row r="106" ht="14.25" spans="1:23">
      <c r="A106" s="1"/>
      <c r="B106" s="1" t="s">
        <v>1406</v>
      </c>
      <c r="C106" s="1" t="s">
        <v>1407</v>
      </c>
      <c r="D106" s="1"/>
      <c r="E106" s="1"/>
      <c r="F106" s="1"/>
      <c r="G106" s="1"/>
      <c r="H106" s="1"/>
      <c r="I106" s="1"/>
      <c r="J106" s="1" t="s">
        <v>1107</v>
      </c>
      <c r="K106" s="1" t="s">
        <v>2119</v>
      </c>
      <c r="L106" s="1" t="s">
        <v>2120</v>
      </c>
      <c r="M106" s="1"/>
      <c r="N106" s="1"/>
      <c r="O106" s="1"/>
      <c r="P106" s="1"/>
      <c r="Q106" s="1"/>
      <c r="R106" s="1"/>
      <c r="S106" s="1" t="s">
        <v>2121</v>
      </c>
      <c r="T106" s="1"/>
      <c r="U106" s="1"/>
      <c r="V106" s="1"/>
      <c r="W106" s="1"/>
    </row>
    <row r="107" ht="14.25" spans="1:23">
      <c r="A107" s="1"/>
      <c r="B107" s="1" t="s">
        <v>1409</v>
      </c>
      <c r="C107" s="1" t="s">
        <v>1410</v>
      </c>
      <c r="D107" s="1"/>
      <c r="E107" s="1"/>
      <c r="F107" s="1"/>
      <c r="G107" s="1"/>
      <c r="H107" s="1"/>
      <c r="I107" s="1"/>
      <c r="J107" s="1" t="s">
        <v>1862</v>
      </c>
      <c r="K107" s="1" t="s">
        <v>2122</v>
      </c>
      <c r="L107" s="1" t="s">
        <v>2123</v>
      </c>
      <c r="M107" s="1"/>
      <c r="N107" s="1"/>
      <c r="O107" s="1"/>
      <c r="P107" s="1"/>
      <c r="Q107" s="1"/>
      <c r="R107" s="1"/>
      <c r="S107" s="1" t="s">
        <v>2124</v>
      </c>
      <c r="T107" s="1"/>
      <c r="U107" s="1"/>
      <c r="V107" s="1"/>
      <c r="W107" s="1"/>
    </row>
    <row r="108" ht="14.25" spans="1:23">
      <c r="A108" s="1"/>
      <c r="B108" s="1" t="s">
        <v>1413</v>
      </c>
      <c r="C108" s="1" t="s">
        <v>1414</v>
      </c>
      <c r="D108" s="1"/>
      <c r="E108" s="1"/>
      <c r="F108" s="1"/>
      <c r="G108" s="1"/>
      <c r="H108" s="1"/>
      <c r="I108" s="1"/>
      <c r="J108" s="1" t="s">
        <v>1870</v>
      </c>
      <c r="K108" s="1" t="s">
        <v>2125</v>
      </c>
      <c r="L108" s="1" t="s">
        <v>2126</v>
      </c>
      <c r="M108" s="1"/>
      <c r="N108" s="1"/>
      <c r="O108" s="1"/>
      <c r="P108" s="1"/>
      <c r="Q108" s="1"/>
      <c r="R108" s="1"/>
      <c r="S108" s="1" t="s">
        <v>2127</v>
      </c>
      <c r="T108" s="1"/>
      <c r="U108" s="1"/>
      <c r="V108" s="1"/>
      <c r="W108" s="1"/>
    </row>
    <row r="109" ht="14.25" spans="1:23">
      <c r="A109" s="1"/>
      <c r="B109" s="1" t="s">
        <v>1416</v>
      </c>
      <c r="C109" s="1" t="s">
        <v>1417</v>
      </c>
      <c r="D109" s="1"/>
      <c r="E109" s="1"/>
      <c r="F109" s="1"/>
      <c r="G109" s="1"/>
      <c r="H109" s="1"/>
      <c r="I109" s="1"/>
      <c r="J109" s="1" t="s">
        <v>1110</v>
      </c>
      <c r="K109" s="1" t="s">
        <v>2128</v>
      </c>
      <c r="L109" s="1" t="s">
        <v>2129</v>
      </c>
      <c r="M109" s="1"/>
      <c r="N109" s="1"/>
      <c r="O109" s="1"/>
      <c r="P109" s="1"/>
      <c r="Q109" s="1"/>
      <c r="R109" s="1"/>
      <c r="S109" s="1" t="s">
        <v>2130</v>
      </c>
      <c r="T109" s="1"/>
      <c r="U109" s="1"/>
      <c r="V109" s="1"/>
      <c r="W109" s="1"/>
    </row>
    <row r="110" ht="14.25" spans="1:23">
      <c r="A110" s="1"/>
      <c r="B110" s="1" t="s">
        <v>1418</v>
      </c>
      <c r="C110" s="1" t="s">
        <v>1419</v>
      </c>
      <c r="D110" s="1"/>
      <c r="E110" s="1"/>
      <c r="F110" s="1"/>
      <c r="G110" s="1"/>
      <c r="H110" s="1"/>
      <c r="I110" s="1"/>
      <c r="J110" s="1"/>
      <c r="K110" s="1" t="s">
        <v>2131</v>
      </c>
      <c r="L110" s="1"/>
      <c r="M110" s="1"/>
      <c r="N110" s="1"/>
      <c r="O110" s="1"/>
      <c r="P110" s="1"/>
      <c r="Q110" s="1"/>
      <c r="R110" s="1"/>
      <c r="S110" s="1" t="s">
        <v>2132</v>
      </c>
      <c r="T110" s="1"/>
      <c r="U110" s="1"/>
      <c r="V110" s="1"/>
      <c r="W110" s="1"/>
    </row>
    <row r="111" ht="14.25" spans="1:23">
      <c r="A111" s="1"/>
      <c r="B111" s="1" t="s">
        <v>1420</v>
      </c>
      <c r="C111" s="1" t="s">
        <v>1421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 t="s">
        <v>2133</v>
      </c>
      <c r="T111" s="1"/>
      <c r="U111" s="1"/>
      <c r="V111" s="1"/>
      <c r="W111" s="1"/>
    </row>
    <row r="112" ht="14.25" spans="1:23">
      <c r="A112" s="1"/>
      <c r="B112" s="1" t="s">
        <v>1422</v>
      </c>
      <c r="C112" s="1" t="s">
        <v>1423</v>
      </c>
      <c r="D112" s="1"/>
      <c r="E112" s="1"/>
      <c r="F112" s="1"/>
      <c r="G112" s="1"/>
      <c r="H112" s="1"/>
      <c r="I112" s="1"/>
      <c r="J112" s="1" t="s">
        <v>2134</v>
      </c>
      <c r="K112" s="1"/>
      <c r="L112" s="1" t="s">
        <v>2056</v>
      </c>
      <c r="M112" s="1"/>
      <c r="N112" s="1"/>
      <c r="O112" s="1"/>
      <c r="P112" s="1"/>
      <c r="Q112" s="1"/>
      <c r="R112" s="1"/>
      <c r="S112" s="1" t="s">
        <v>2135</v>
      </c>
      <c r="T112" s="1"/>
      <c r="U112" s="1"/>
      <c r="V112" s="1"/>
      <c r="W112" s="1"/>
    </row>
    <row r="113" ht="14.25" spans="1:23">
      <c r="A113" s="1"/>
      <c r="B113" s="1" t="s">
        <v>1424</v>
      </c>
      <c r="C113" s="1" t="s">
        <v>1425</v>
      </c>
      <c r="D113" s="1"/>
      <c r="E113" s="1"/>
      <c r="F113" s="1"/>
      <c r="G113" s="1"/>
      <c r="H113" s="1"/>
      <c r="I113" s="1"/>
      <c r="J113" s="1" t="s">
        <v>336</v>
      </c>
      <c r="K113" s="1" t="s">
        <v>2058</v>
      </c>
      <c r="L113" s="1" t="s">
        <v>2136</v>
      </c>
      <c r="M113" s="1"/>
      <c r="N113" s="1"/>
      <c r="O113" s="1"/>
      <c r="P113" s="1"/>
      <c r="Q113" s="1"/>
      <c r="R113" s="1"/>
      <c r="S113" s="1" t="s">
        <v>2137</v>
      </c>
      <c r="T113" s="1"/>
      <c r="U113" s="1"/>
      <c r="V113" s="1"/>
      <c r="W113" s="1"/>
    </row>
    <row r="114" ht="14.25" spans="1:23">
      <c r="A114" s="1"/>
      <c r="B114" s="1" t="s">
        <v>1426</v>
      </c>
      <c r="C114" s="1" t="s">
        <v>1427</v>
      </c>
      <c r="D114" s="1"/>
      <c r="E114" s="1"/>
      <c r="F114" s="1"/>
      <c r="G114" s="1"/>
      <c r="H114" s="1"/>
      <c r="I114" s="1"/>
      <c r="J114" s="1" t="s">
        <v>1101</v>
      </c>
      <c r="K114" s="1" t="s">
        <v>2138</v>
      </c>
      <c r="L114" s="1" t="s">
        <v>2139</v>
      </c>
      <c r="M114" s="1"/>
      <c r="N114" s="1"/>
      <c r="O114" s="1"/>
      <c r="P114" s="1"/>
      <c r="Q114" s="1"/>
      <c r="R114" s="1"/>
      <c r="S114" s="1" t="s">
        <v>2140</v>
      </c>
      <c r="T114" s="1"/>
      <c r="U114" s="1"/>
      <c r="V114" s="1"/>
      <c r="W114" s="1"/>
    </row>
    <row r="115" ht="14.25" spans="1:23">
      <c r="A115" s="1"/>
      <c r="B115" s="1" t="s">
        <v>666</v>
      </c>
      <c r="C115" s="1" t="s">
        <v>1428</v>
      </c>
      <c r="D115" s="1"/>
      <c r="E115" s="1"/>
      <c r="F115" s="1"/>
      <c r="G115" s="1"/>
      <c r="H115" s="1"/>
      <c r="I115" s="1"/>
      <c r="J115" s="1" t="s">
        <v>1923</v>
      </c>
      <c r="K115" s="1" t="s">
        <v>2141</v>
      </c>
      <c r="L115" s="1" t="s">
        <v>2142</v>
      </c>
      <c r="M115" s="1"/>
      <c r="N115" s="1"/>
      <c r="O115" s="1"/>
      <c r="P115" s="1"/>
      <c r="Q115" s="1"/>
      <c r="R115" s="1"/>
      <c r="S115" s="1" t="s">
        <v>2143</v>
      </c>
      <c r="T115" s="1"/>
      <c r="U115" s="1"/>
      <c r="V115" s="1"/>
      <c r="W115" s="1"/>
    </row>
    <row r="116" ht="14.25" spans="1:23">
      <c r="A116" s="1"/>
      <c r="B116" s="1" t="s">
        <v>1429</v>
      </c>
      <c r="C116" s="1" t="s">
        <v>1430</v>
      </c>
      <c r="D116" s="1"/>
      <c r="E116" s="1"/>
      <c r="F116" s="1"/>
      <c r="G116" s="1"/>
      <c r="H116" s="1"/>
      <c r="I116" s="1"/>
      <c r="J116" s="1" t="s">
        <v>1946</v>
      </c>
      <c r="K116" s="1" t="s">
        <v>2144</v>
      </c>
      <c r="L116" s="1" t="s">
        <v>2145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25" spans="1:23">
      <c r="A117" s="1"/>
      <c r="B117" s="1" t="s">
        <v>1431</v>
      </c>
      <c r="C117" s="1" t="s">
        <v>1432</v>
      </c>
      <c r="D117" s="1"/>
      <c r="E117" s="1"/>
      <c r="F117" s="1"/>
      <c r="G117" s="1"/>
      <c r="H117" s="1"/>
      <c r="I117" s="1"/>
      <c r="J117" s="1" t="s">
        <v>1889</v>
      </c>
      <c r="K117" s="1" t="s">
        <v>2146</v>
      </c>
      <c r="L117" s="1" t="s">
        <v>2147</v>
      </c>
      <c r="M117" s="1"/>
      <c r="N117" s="1"/>
      <c r="O117" s="1"/>
      <c r="P117" s="1"/>
      <c r="Q117" s="1"/>
      <c r="R117" s="1"/>
      <c r="S117" s="1" t="s">
        <v>2148</v>
      </c>
      <c r="T117" s="1"/>
      <c r="U117" s="1"/>
      <c r="V117" s="1"/>
      <c r="W117" s="1"/>
    </row>
    <row r="118" ht="14.25" spans="1:23">
      <c r="A118" s="1"/>
      <c r="B118" s="1" t="s">
        <v>1433</v>
      </c>
      <c r="C118" s="1" t="s">
        <v>1434</v>
      </c>
      <c r="D118" s="1"/>
      <c r="E118" s="1"/>
      <c r="F118" s="1"/>
      <c r="G118" s="1"/>
      <c r="H118" s="1"/>
      <c r="I118" s="1"/>
      <c r="J118" s="1" t="s">
        <v>1176</v>
      </c>
      <c r="K118" s="1" t="s">
        <v>2149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25" spans="1:23">
      <c r="A119" s="1"/>
      <c r="B119" s="1" t="s">
        <v>1435</v>
      </c>
      <c r="C119" s="1" t="s">
        <v>1436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25" spans="1:23">
      <c r="A120" s="1"/>
      <c r="B120" s="1" t="s">
        <v>1437</v>
      </c>
      <c r="C120" s="1" t="s">
        <v>1438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25" spans="1:23">
      <c r="A121" s="1"/>
      <c r="B121" s="1" t="s">
        <v>1439</v>
      </c>
      <c r="C121" s="1" t="s">
        <v>1440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25" spans="1:23">
      <c r="A122" s="1"/>
      <c r="B122" s="1" t="s">
        <v>1441</v>
      </c>
      <c r="C122" s="1" t="s">
        <v>1442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25" spans="1: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25" spans="1:23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25" spans="1:23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25" spans="1:23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25" spans="1:23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25" spans="1:23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25" spans="1:23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25" spans="1:23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25" spans="1:23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25" spans="1:23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25" spans="1:2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25" spans="1:23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25" spans="1:23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25" spans="1:23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25" spans="1:23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25" spans="1:23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spans="1:23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25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25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25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25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25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2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25" spans="1:23"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25" spans="1:23"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25" spans="1:23"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25" spans="1:23"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25" spans="1:23"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25" spans="1:23"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25" spans="1:23">
      <c r="F153" s="1"/>
      <c r="G153" s="1"/>
      <c r="H153" s="1"/>
      <c r="I153" s="1"/>
      <c r="J153" s="1"/>
      <c r="K153" s="1"/>
      <c r="L153" s="1"/>
      <c r="M153" s="1" t="s">
        <v>2150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spans="1:23">
      <c r="F154" s="1"/>
      <c r="G154" s="1"/>
      <c r="H154" s="1"/>
      <c r="I154" s="1"/>
      <c r="J154" s="1"/>
      <c r="K154" s="1"/>
      <c r="L154" s="1"/>
      <c r="M154" s="1" t="s">
        <v>2151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25" spans="1:23">
      <c r="F155" s="1"/>
      <c r="G155" s="1"/>
      <c r="H155" s="1"/>
      <c r="I155" s="1"/>
      <c r="J155" s="1"/>
      <c r="K155" s="1"/>
      <c r="L155" s="1"/>
      <c r="M155" s="1" t="s">
        <v>2152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spans="1:23"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25" spans="1:23"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25" spans="1:23">
      <c r="F158" s="1"/>
      <c r="G158" s="1"/>
      <c r="H158" s="1"/>
      <c r="I158" s="1"/>
      <c r="J158" s="1"/>
      <c r="K158" s="1"/>
      <c r="L158" s="1"/>
      <c r="M158" s="1" t="s">
        <v>2153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25" spans="1:23">
      <c r="F159" s="1"/>
      <c r="G159" s="1"/>
      <c r="H159" s="1"/>
      <c r="I159" s="1"/>
      <c r="J159" s="1"/>
      <c r="K159" s="1"/>
      <c r="L159" s="1"/>
      <c r="M159" s="1" t="s">
        <v>2154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25" spans="1:23"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spans="1:23">
      <c r="F161" s="1"/>
      <c r="G161" s="1"/>
      <c r="H161" s="1"/>
      <c r="I161" s="1"/>
      <c r="J161" s="1"/>
      <c r="K161" s="1"/>
      <c r="L161" s="1"/>
      <c r="M161" s="1" t="s">
        <v>2155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25" spans="1:23"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25" spans="1:23">
      <c r="F163" s="1"/>
      <c r="G163" s="1"/>
      <c r="H163" s="1"/>
      <c r="I163" s="1"/>
      <c r="J163" s="1"/>
      <c r="K163" s="1"/>
      <c r="L163" s="1"/>
      <c r="M163" s="1" t="s">
        <v>2156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25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2157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25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2158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25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2159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25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2160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4.25" spans="1: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1284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4.25" spans="1: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1288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4.25" spans="1:23">
      <c r="H171" s="1"/>
      <c r="I171" s="1"/>
      <c r="J171" s="1"/>
      <c r="K171" s="1"/>
      <c r="L171" s="1"/>
      <c r="M171" s="1" t="s">
        <v>2161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4.25" spans="1:23">
      <c r="H172" s="1"/>
      <c r="I172" s="1"/>
      <c r="J172" s="1"/>
      <c r="K172" s="1"/>
      <c r="L172" s="1"/>
      <c r="M172" s="1" t="s">
        <v>1294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4.25" spans="1:23"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4.25" spans="1:23">
      <c r="H174" s="1"/>
      <c r="I174" s="1"/>
      <c r="J174" s="1"/>
      <c r="K174" s="1"/>
      <c r="L174" s="1"/>
      <c r="M174" s="1" t="s">
        <v>1299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4.25" spans="1:23">
      <c r="H175" s="1"/>
      <c r="I175" s="1"/>
      <c r="J175" s="1"/>
      <c r="K175" s="1"/>
      <c r="L175" s="1"/>
      <c r="M175" s="1" t="s">
        <v>1302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4.25" spans="1:23">
      <c r="H176" s="1"/>
      <c r="I176" s="1"/>
      <c r="J176" s="1"/>
      <c r="K176" s="1"/>
      <c r="L176" s="1"/>
      <c r="M176" s="1" t="s">
        <v>1307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spans="1:23">
      <c r="H177" s="1"/>
      <c r="I177" s="1"/>
      <c r="J177" s="1"/>
      <c r="K177" s="1"/>
      <c r="L177" s="1"/>
      <c r="M177" s="1" t="s">
        <v>1311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4.25" spans="1:23">
      <c r="H178" s="1"/>
      <c r="I178" s="1"/>
      <c r="J178" s="1"/>
      <c r="K178" s="1"/>
      <c r="L178" s="1"/>
      <c r="M178" s="1" t="s">
        <v>2162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4.25" spans="1:23">
      <c r="H179" s="1"/>
      <c r="I179" s="1"/>
      <c r="J179" s="1"/>
      <c r="K179" s="1"/>
      <c r="L179" s="1"/>
      <c r="M179" s="1" t="s">
        <v>1317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4.25" spans="1:23">
      <c r="H180" s="1"/>
      <c r="I180" s="1"/>
      <c r="J180" s="1"/>
      <c r="K180" s="1"/>
      <c r="L180" s="1"/>
      <c r="M180" s="1" t="s">
        <v>1320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4.25" spans="1:23">
      <c r="H181" s="1"/>
      <c r="I181" s="1"/>
      <c r="J181" s="1"/>
      <c r="K181" s="1"/>
      <c r="L181" s="1"/>
      <c r="M181" s="1" t="s">
        <v>1324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4.25" spans="1:23"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4.25" spans="1:23"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4.25" spans="1:23">
      <c r="H184" s="1"/>
      <c r="I184" s="1"/>
      <c r="J184" s="1"/>
      <c r="K184" s="1"/>
      <c r="L184" s="1"/>
      <c r="M184" s="1" t="s">
        <v>1327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4.25" spans="1:23">
      <c r="H185" s="1"/>
      <c r="I185" s="1"/>
      <c r="J185" s="1"/>
      <c r="K185" s="1"/>
      <c r="L185" s="1"/>
      <c r="M185" s="1" t="s">
        <v>1329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4.25" spans="1:23">
      <c r="H186" s="1"/>
      <c r="I186" s="1"/>
      <c r="J186" s="1"/>
      <c r="K186" s="1"/>
      <c r="L186" s="1"/>
      <c r="M186" s="1" t="s">
        <v>1332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4.25" spans="1:23">
      <c r="H187" s="1"/>
      <c r="I187" s="1"/>
      <c r="J187" s="1"/>
      <c r="K187" s="1"/>
      <c r="L187" s="1"/>
      <c r="M187" s="1" t="s">
        <v>1337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spans="1:23">
      <c r="H188" s="1"/>
      <c r="I188" s="1"/>
      <c r="J188" s="1"/>
      <c r="K188" s="1"/>
      <c r="L188" s="1"/>
      <c r="M188" s="1" t="s">
        <v>1342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4.25" spans="1:23">
      <c r="H189" s="1"/>
      <c r="I189" s="1"/>
      <c r="J189" s="1"/>
      <c r="K189" s="1"/>
      <c r="L189" s="1"/>
      <c r="M189" s="1" t="s">
        <v>1345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4.25" spans="1:23">
      <c r="H190" s="1"/>
      <c r="I190" s="1"/>
      <c r="J190" s="1"/>
      <c r="K190" s="1"/>
      <c r="L190" s="1"/>
      <c r="M190" s="1" t="s">
        <v>1346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4.25" spans="1:23">
      <c r="H191" s="1"/>
      <c r="I191" s="1"/>
      <c r="J191" s="1"/>
      <c r="K191" s="1"/>
      <c r="L191" s="1"/>
      <c r="M191" s="1" t="s">
        <v>1350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4.25" spans="1: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4.25" spans="1: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spans="1: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 t="s">
        <v>2163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4.25" spans="1:23">
      <c r="H195" s="1"/>
      <c r="I195" s="1"/>
      <c r="J195" s="1"/>
      <c r="K195" s="1"/>
      <c r="L195" s="1"/>
      <c r="M195" s="1" t="s">
        <v>2164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4.25" spans="1:23">
      <c r="H196" s="1"/>
      <c r="I196" s="1"/>
      <c r="J196" s="1"/>
      <c r="K196" s="1"/>
      <c r="L196" s="1"/>
      <c r="M196" s="1" t="s">
        <v>2165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4.25" spans="1:23">
      <c r="H197" s="1"/>
      <c r="I197" s="1"/>
      <c r="J197" s="1"/>
      <c r="K197" s="1"/>
      <c r="L197" s="1"/>
      <c r="M197" s="1" t="s">
        <v>2166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4.25" spans="1:23">
      <c r="H198" s="1"/>
      <c r="I198" s="1"/>
      <c r="J198" s="1"/>
      <c r="K198" s="1"/>
      <c r="L198" s="1"/>
      <c r="M198" s="1" t="s">
        <v>2167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spans="1:23">
      <c r="H199" s="1"/>
      <c r="I199" s="1"/>
      <c r="J199" s="1"/>
      <c r="K199" s="1"/>
      <c r="L199" s="1"/>
      <c r="M199" s="1" t="s">
        <v>2168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4.25" spans="1:23">
      <c r="H200" s="1"/>
      <c r="I200" s="1"/>
      <c r="J200" s="1"/>
      <c r="K200" s="1"/>
      <c r="L200" s="1"/>
      <c r="M200" s="1" t="s">
        <v>2169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4.25" spans="1:23">
      <c r="H201" s="1"/>
      <c r="I201" s="1"/>
      <c r="J201" s="1"/>
      <c r="K201" s="1"/>
      <c r="L201" s="1"/>
      <c r="M201" s="1" t="s">
        <v>2170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4.25" spans="1:23"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4.25" spans="1:2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 t="s">
        <v>2171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4.25" spans="1:2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 t="s">
        <v>2172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4.25" spans="1:2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 t="s">
        <v>2173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4.25" spans="1:2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 t="s">
        <v>2174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4.25" spans="1:2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 t="s">
        <v>2175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4.25" spans="1:2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 t="s">
        <v>2176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4.25" spans="1:2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 t="s">
        <v>2177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4.25" spans="1:2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 t="s">
        <v>2178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4.25" spans="1:2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4.25" spans="1:2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 t="s">
        <v>2179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4.25" spans="1:2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 t="s">
        <v>2180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4.25" spans="1:2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 t="s">
        <v>2181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4.25" spans="1: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 t="s">
        <v>2182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4.25" spans="1: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4.25" spans="1: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4.25" spans="1: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 t="s">
        <v>2183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4.25" spans="1: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 t="s">
        <v>2184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4.25" spans="1: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 t="s">
        <v>2185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4.25" spans="1: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 t="s">
        <v>2186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4.25" spans="1:23">
      <c r="A222" s="1" t="s">
        <v>1443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 t="s">
        <v>2187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4.25" spans="1: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 t="s">
        <v>2188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4.25" spans="1:23">
      <c r="A224" s="1" t="s">
        <v>1283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 t="s">
        <v>2189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4.25" spans="1:2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 t="s">
        <v>2190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4.25" spans="1:23">
      <c r="A226" s="1" t="s">
        <v>1415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 t="s">
        <v>2191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4.25" spans="1:23">
      <c r="A227" s="1" t="s">
        <v>1255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 t="s">
        <v>2192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4.25" spans="1:23">
      <c r="A228" s="1" t="s">
        <v>1287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4.25" spans="1:23">
      <c r="A229" s="1" t="s">
        <v>2193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4.25" spans="1:23">
      <c r="A230" s="1" t="s">
        <v>1448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 t="s">
        <v>2194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4.25" spans="1:23">
      <c r="A231" s="1" t="s">
        <v>2195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 t="s">
        <v>2196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4.25" spans="1:2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 t="s">
        <v>2197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4.25" spans="1:23">
      <c r="A233" s="1" t="s">
        <v>1159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 t="s">
        <v>2198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4.25" spans="1:2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 t="s">
        <v>2199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4.25" spans="1:23">
      <c r="A235" s="1" t="s">
        <v>1310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 t="s">
        <v>2200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4.25" spans="1:23">
      <c r="A236" s="1" t="s">
        <v>1313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4.25" spans="1:2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 t="s">
        <v>2201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4.25" spans="1:23">
      <c r="A238" s="1" t="s">
        <v>1144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 t="s">
        <v>2202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4.25" spans="1:23">
      <c r="A239" s="1" t="s">
        <v>1312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 t="s">
        <v>2203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4.25" spans="1:23">
      <c r="A240" s="1" t="s">
        <v>1316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 t="s">
        <v>2204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4.25" spans="1:23">
      <c r="A241" s="1" t="s">
        <v>2205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 t="s">
        <v>2206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4.25" spans="1:23">
      <c r="A242" s="1" t="s">
        <v>1226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 t="s">
        <v>2207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4.25" spans="1:23">
      <c r="A243" s="1" t="s">
        <v>1291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 t="s">
        <v>2208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4.25" spans="1:23">
      <c r="A244" s="1" t="s">
        <v>1362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 t="s">
        <v>2209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4.25" spans="1:23">
      <c r="A245" s="1" t="s">
        <v>1290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 t="s">
        <v>2210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4.25" spans="1:23">
      <c r="A246" s="1" t="s">
        <v>1360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 t="s">
        <v>2211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4.25" spans="1:23">
      <c r="A247" s="1" t="s">
        <v>2212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4.25" spans="1:23">
      <c r="A248" s="1" t="s">
        <v>1203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 t="s">
        <v>2213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4.25" spans="1:23">
      <c r="A249" s="1" t="s">
        <v>1306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4.25" spans="1:23">
      <c r="A250" s="1" t="s">
        <v>1392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 t="s">
        <v>2214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4.25" spans="1:2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4.25" spans="1:2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 t="s">
        <v>2215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4.25" spans="1:2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4.25" spans="1:2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 t="s">
        <v>2216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4.25" spans="1:2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 t="s">
        <v>2217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4.25" spans="1:2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4.25" spans="1:2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 t="s">
        <v>2218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4.25" spans="1:2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4.25" spans="1:2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 t="s">
        <v>2219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4.25" spans="1:2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4.25" spans="1:2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 t="s">
        <v>2220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4.25" spans="1:2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5.75" spans="1:2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 t="s">
        <v>2221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4.25" spans="1:2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4.25" spans="1:2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 t="s">
        <v>2222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4.25" spans="1:2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 t="s">
        <v>2223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4.25" spans="1:2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 t="s">
        <v>2224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4.25" spans="1:2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 t="s">
        <v>2225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4.25" spans="1:2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 t="s">
        <v>2226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4.25" spans="1:2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4.25" spans="1:2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 t="s">
        <v>2222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4.25" spans="1:2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 t="s">
        <v>2227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4.25" spans="1:2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 t="s">
        <v>2228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4.25" spans="1:2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 t="s">
        <v>2229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4.25" spans="1:2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 t="s">
        <v>2230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4.25" spans="1:2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4.25" spans="1:2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 t="s">
        <v>2222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4.25" spans="1:2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 t="s">
        <v>2231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4.25" spans="1:2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 t="s">
        <v>2232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4.25" spans="1:2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 t="s">
        <v>2233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4.25" spans="1:2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 t="s">
        <v>2234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4.25" spans="1:2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 t="s">
        <v>2235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4.25" spans="1:2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4.25" spans="1:2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 t="s">
        <v>2236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4.25" spans="1:2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4.25" spans="1:2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 t="s">
        <v>2237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4.25" spans="1:2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 t="s">
        <v>2238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4.25" spans="1:2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 t="s">
        <v>2222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4.25" spans="1:2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 t="s">
        <v>2239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4.25" spans="1:2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 t="s">
        <v>2240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4.25" spans="1:2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 t="s">
        <v>2241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4.25" spans="1:2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 t="s">
        <v>2242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4.25" spans="1:2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 t="s">
        <v>2243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4.25" spans="1:2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4.25" spans="1:2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 t="s">
        <v>2222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4.25" spans="1:2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 t="s">
        <v>2244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4.25" spans="1:2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 t="s">
        <v>2245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4.25" spans="1:2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 t="s">
        <v>2246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4.25" spans="1:2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 t="s">
        <v>2247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4.25" spans="1:2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4.25" spans="1:2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 t="s">
        <v>2248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4.25" spans="1:2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 t="s">
        <v>2249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4.25" spans="1:2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4.25" spans="1:2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 t="s">
        <v>2250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4.25" spans="1:2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 t="s">
        <v>2222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4.25" spans="1:2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 t="s">
        <v>2251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4.25" spans="1:2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 t="s">
        <v>2252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4.25" spans="1:2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 t="s">
        <v>2253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4.25" spans="1:2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 t="s">
        <v>2254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4.25" spans="1:2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4.25" spans="1:2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 t="s">
        <v>2255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4.25" spans="1:2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 t="s">
        <v>2256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4.25" spans="1:2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4.25" spans="1:2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 t="s">
        <v>2257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4.25" spans="1:2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 t="s">
        <v>2258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4.25" spans="1:2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 t="s">
        <v>2259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4.25" spans="1:2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 t="s">
        <v>2222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4.25" spans="1:2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 t="s">
        <v>2260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4.25" spans="1:2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 t="s">
        <v>2261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4.25" spans="1:2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 t="s">
        <v>2262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4.25" spans="1:2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 t="s">
        <v>2242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4.25" spans="1:2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 t="s">
        <v>2263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4.25" spans="1: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4.25" spans="1:2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 t="s">
        <v>2264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4.25" spans="1:2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 t="s">
        <v>2265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4.25" spans="1:2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4.25" spans="1:2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 t="s">
        <v>2266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4.25" spans="1:2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 t="s">
        <v>2267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4.25" spans="1:2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 t="s">
        <v>2268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4.25" spans="1:2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 t="s">
        <v>2269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4.25" spans="1:2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 t="s">
        <v>2270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4.25" spans="1:2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 t="s">
        <v>2271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4.25" spans="1:2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 t="s">
        <v>2272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4.25" spans="1:2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 t="s">
        <v>2273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4.25" spans="1:2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 t="s">
        <v>2274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4.25" spans="1:2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 t="s">
        <v>2275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4.25" spans="1:2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 t="s">
        <v>2276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4.25" spans="1:2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 t="s">
        <v>2277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4.25" spans="1:2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 t="s">
        <v>2278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4.25" spans="1:2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 t="s">
        <v>2279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4.25" spans="1:2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4.25" spans="1:2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4.25" spans="1:2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4.25" spans="1:2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4.25" spans="1:2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4.25" spans="1:2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4.25" spans="1:2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属性说明  </vt:lpstr>
      <vt:lpstr>属性计算</vt:lpstr>
      <vt:lpstr>装备</vt:lpstr>
      <vt:lpstr>词条设计</vt:lpstr>
      <vt:lpstr>装备词条</vt:lpstr>
      <vt:lpstr>流派</vt:lpstr>
      <vt:lpstr>宠物与坐骑</vt:lpstr>
      <vt:lpstr>宠物与坐骑列表</vt:lpstr>
      <vt:lpstr>天赋系统</vt:lpstr>
      <vt:lpstr>属性来源预算比例</vt:lpstr>
      <vt:lpstr>神器与法宝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易龙</cp:lastModifiedBy>
  <dcterms:created xsi:type="dcterms:W3CDTF">2026-08-18T10:09:00Z</dcterms:created>
  <dcterms:modified xsi:type="dcterms:W3CDTF">2026-09-09T14:11:47Z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5F5CA8703FC04E41AA88AF2B85347370_11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