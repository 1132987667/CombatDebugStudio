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227" activeTab="3"/>
  </bookViews>
  <sheets>
    <sheet name="Sheet1" sheetId="1" r:id="rId1"/>
    <sheet name="属性说明  " sheetId="8" r:id="rId2"/>
    <sheet name="属性" sheetId="7" r:id="rId3"/>
    <sheet name="装备" sheetId="2" r:id="rId4"/>
    <sheet name="流派" sheetId="3" r:id="rId5"/>
    <sheet name="宠物与坐骑" sheetId="4" r:id="rId6"/>
    <sheet name="天赋系统" sheetId="5" r:id="rId7"/>
    <sheet name="属性来源预算比例" sheetId="6" r:id="rId8"/>
    <sheet name="神器与法宝" sheetId="9" r:id="rId9"/>
  </sheets>
  <calcPr calcId="144525"/>
</workbook>
</file>

<file path=xl/sharedStrings.xml><?xml version="1.0" encoding="utf-8"?>
<sst xmlns="http://schemas.openxmlformats.org/spreadsheetml/2006/main" count="2644" uniqueCount="1275">
  <si>
    <t>A</t>
  </si>
  <si>
    <t>层级</t>
  </si>
  <si>
    <t>属性</t>
  </si>
  <si>
    <t>基础-20</t>
  </si>
  <si>
    <t>L1</t>
  </si>
  <si>
    <t>气血</t>
  </si>
  <si>
    <t>攻击</t>
  </si>
  <si>
    <t>防御</t>
  </si>
  <si>
    <t>命中</t>
  </si>
  <si>
    <t>闪避</t>
  </si>
  <si>
    <t>速度</t>
  </si>
  <si>
    <t>L2</t>
  </si>
  <si>
    <t>气血加成</t>
  </si>
  <si>
    <t>攻击加成</t>
  </si>
  <si>
    <t>防御加成</t>
  </si>
  <si>
    <t>命中加成</t>
  </si>
  <si>
    <t>闪避加成</t>
  </si>
  <si>
    <t>速度加成</t>
  </si>
  <si>
    <t>L3</t>
  </si>
  <si>
    <t>气血系数</t>
  </si>
  <si>
    <t>攻击系数</t>
  </si>
  <si>
    <t>防御系数</t>
  </si>
  <si>
    <t>命中系数</t>
  </si>
  <si>
    <t>闪避系数</t>
  </si>
  <si>
    <t>速度系数</t>
  </si>
  <si>
    <t>L4</t>
  </si>
  <si>
    <t>最终攻击</t>
  </si>
  <si>
    <t>最终防御</t>
  </si>
  <si>
    <t>B</t>
  </si>
  <si>
    <t>输出-14</t>
  </si>
  <si>
    <t>暴击率</t>
  </si>
  <si>
    <t>暴击伤害</t>
  </si>
  <si>
    <t>连击率</t>
  </si>
  <si>
    <t>真伤率</t>
  </si>
  <si>
    <t>真伤附加值</t>
  </si>
  <si>
    <t>伤害加成</t>
  </si>
  <si>
    <t>普攻加成</t>
  </si>
  <si>
    <t>技能加成</t>
  </si>
  <si>
    <t>反击伤害加成</t>
  </si>
  <si>
    <t>伤害系数</t>
  </si>
  <si>
    <t>反击伤害系数</t>
  </si>
  <si>
    <t>连击伤害系数</t>
  </si>
  <si>
    <t>真伤系数</t>
  </si>
  <si>
    <t>最终伤害提升</t>
  </si>
  <si>
    <t>C</t>
  </si>
  <si>
    <t>破甲</t>
  </si>
  <si>
    <t>易伤</t>
  </si>
  <si>
    <t>护盾削减</t>
  </si>
  <si>
    <t>生存-7</t>
  </si>
  <si>
    <t>护盾</t>
  </si>
  <si>
    <t>免伤率</t>
  </si>
  <si>
    <t>伤害反弹</t>
  </si>
  <si>
    <t>气血回复(%)</t>
  </si>
  <si>
    <t>气血回复(固定)</t>
  </si>
  <si>
    <t>免伤系数</t>
  </si>
  <si>
    <t>护盾加成</t>
  </si>
  <si>
    <t>治疗强度加成</t>
  </si>
  <si>
    <t>伤害反弹加成</t>
  </si>
  <si>
    <t>最终伤害减免</t>
  </si>
  <si>
    <t>D</t>
  </si>
  <si>
    <t>对抗-10</t>
  </si>
  <si>
    <t>命中率</t>
  </si>
  <si>
    <t>闪避率</t>
  </si>
  <si>
    <t>暴击抵抗</t>
  </si>
  <si>
    <t>暴伤减免</t>
  </si>
  <si>
    <t>真伤抗性</t>
  </si>
  <si>
    <t>普攻抵抗</t>
  </si>
  <si>
    <t>技能抵抗</t>
  </si>
  <si>
    <t>控制豁免</t>
  </si>
  <si>
    <t>效果抵抗</t>
  </si>
  <si>
    <t>E</t>
  </si>
  <si>
    <t>五行-2</t>
  </si>
  <si>
    <t>五行攻击%</t>
  </si>
  <si>
    <t>五行抗性%</t>
  </si>
  <si>
    <t>F</t>
  </si>
  <si>
    <t>机制-5</t>
  </si>
  <si>
    <t>反击率</t>
  </si>
  <si>
    <t>吸血率</t>
  </si>
  <si>
    <t>效果命中</t>
  </si>
  <si>
    <t>初始能量</t>
  </si>
  <si>
    <t>能量获取效率</t>
  </si>
  <si>
    <t>控制命中</t>
  </si>
  <si>
    <t>G</t>
  </si>
  <si>
    <t>占位-1</t>
  </si>
  <si>
    <t>溅射</t>
  </si>
  <si>
    <t>H</t>
  </si>
  <si>
    <t>机制-10</t>
  </si>
  <si>
    <t>吸血效果加成</t>
  </si>
  <si>
    <t>吸血效果削减</t>
  </si>
  <si>
    <t>治疗强度削减</t>
  </si>
  <si>
    <t>伤害反弹削减</t>
  </si>
  <si>
    <t>数值类型</t>
  </si>
  <si>
    <t>说明</t>
  </si>
  <si>
    <t>属性价值</t>
  </si>
  <si>
    <t>总投放数值</t>
  </si>
  <si>
    <t>软上限%</t>
  </si>
  <si>
    <t>来源</t>
  </si>
  <si>
    <t>数值</t>
  </si>
  <si>
    <t>角色生命值，归零即退场。</t>
  </si>
  <si>
    <t>伤害计算基数，越高伤害越高。</t>
  </si>
  <si>
    <t>抵扣受到的伤害，越高受伤越低。</t>
  </si>
  <si>
    <t>攻击命中判定的基础值，对抗目标闪避值。</t>
  </si>
  <si>
    <t>闪避判定的基础值，对抗目标命中值。</t>
  </si>
  <si>
    <t>决定每回合行动顺序，高者先动。</t>
  </si>
  <si>
    <t>百分比</t>
  </si>
  <si>
    <t>按百分比提高气血。</t>
  </si>
  <si>
    <t>流派-公共+18%</t>
  </si>
  <si>
    <t>按百分比提高攻击。</t>
  </si>
  <si>
    <t>按百分比提高防御。</t>
  </si>
  <si>
    <t>按百分比提高命中。</t>
  </si>
  <si>
    <t>按百分比提高闪避。</t>
  </si>
  <si>
    <t>按百分比提高速度。</t>
  </si>
  <si>
    <t>对气血进行独立乘区放大。</t>
  </si>
  <si>
    <t>流派-公共+16%</t>
  </si>
  <si>
    <t>对攻击进行独立乘区放大。</t>
  </si>
  <si>
    <t>对防御进行独立乘区放大。</t>
  </si>
  <si>
    <t>对命中进行独立乘区放大。</t>
  </si>
  <si>
    <t>对闪避进行独立乘区放大。</t>
  </si>
  <si>
    <t>对速度进行独立乘区放大。</t>
  </si>
  <si>
    <t>最终层提高攻击，不被任何乘区稀释。</t>
  </si>
  <si>
    <t>流派-公共+24%</t>
  </si>
  <si>
    <t>最终层提高防御，不被任何乘区稀释</t>
  </si>
  <si>
    <t>触发暴击的概率。</t>
  </si>
  <si>
    <t>武器</t>
  </si>
  <si>
    <t>宠物</t>
  </si>
  <si>
    <t>天赋</t>
  </si>
  <si>
    <t>流派</t>
  </si>
  <si>
    <t>流派-公共+10%</t>
  </si>
  <si>
    <t>流派-破军+16%</t>
  </si>
  <si>
    <t>暴击时的伤害倍率，基础通常为150%。</t>
  </si>
  <si>
    <t>流派16</t>
  </si>
  <si>
    <t>攻击后追加额外攻击段的概率。</t>
  </si>
  <si>
    <t>将伤害基数的一定比例转化为无视防御的真实伤害。</t>
  </si>
  <si>
    <t>按百分比提高造成的所有伤害。</t>
  </si>
  <si>
    <t>仅按百分比提高普攻伤害。</t>
  </si>
  <si>
    <t>流派12%</t>
  </si>
  <si>
    <t>仅按百分比提高技能伤害。</t>
  </si>
  <si>
    <t>仅按百分比提高反击的伤害。</t>
  </si>
  <si>
    <t>对造成的伤害进行独立乘区放大。</t>
  </si>
  <si>
    <t>独立放大反击段的伤害。</t>
  </si>
  <si>
    <t>独立放大连击段的伤害。</t>
  </si>
  <si>
    <t>独立放大真实伤害。</t>
  </si>
  <si>
    <t>最终层提高造成的伤害。</t>
  </si>
  <si>
    <t>独立于气血的白字血量，优先吸收伤害。</t>
  </si>
  <si>
    <t>按百分比减少受到的伤害。</t>
  </si>
  <si>
    <t>将受到伤害的一定比例反弹给攻击者。</t>
  </si>
  <si>
    <t>每回合按最大气血百分比回复。</t>
  </si>
  <si>
    <t>B类属性</t>
  </si>
  <si>
    <t>每回合回复固定气血值。</t>
  </si>
  <si>
    <t>主来源</t>
  </si>
  <si>
    <t>副来源</t>
  </si>
  <si>
    <t>不建议来源</t>
  </si>
  <si>
    <t>独立放大免伤效果。</t>
  </si>
  <si>
    <t>武器、暴伤流派、攻伐天赋</t>
  </si>
  <si>
    <t>护腕、饰品</t>
  </si>
  <si>
    <t>等级、坐骑、甲胄</t>
  </si>
  <si>
    <t>最终层减少受到的伤害。</t>
  </si>
  <si>
    <t>甲+10%+5%</t>
  </si>
  <si>
    <t>头+5%+5%</t>
  </si>
  <si>
    <t>鞋+5%+5%</t>
  </si>
  <si>
    <t>坐骑+10%</t>
  </si>
  <si>
    <t>饰品</t>
  </si>
  <si>
    <t>等级、坐骑、宠物</t>
  </si>
  <si>
    <t>直接提高最终命中概率，对抗目标闪避率。</t>
  </si>
  <si>
    <t>武器16%+8%</t>
  </si>
  <si>
    <t>戒指8%+5%</t>
  </si>
  <si>
    <t>饰品8%+5%</t>
  </si>
  <si>
    <t>宠物25%</t>
  </si>
  <si>
    <t>伤害提升%</t>
  </si>
  <si>
    <t>饰品、攻伐天赋</t>
  </si>
  <si>
    <t>流派终极节点</t>
  </si>
  <si>
    <t>等级、宠物、坐骑、甲胄</t>
  </si>
  <si>
    <t>直接降低敌方对自己的最终命中概率。</t>
  </si>
  <si>
    <t>盔甲12%+6%</t>
  </si>
  <si>
    <t>头盔6%+3%</t>
  </si>
  <si>
    <t>鞋子6%+3%</t>
  </si>
  <si>
    <t>坐骑+25%</t>
  </si>
  <si>
    <t>连击流派、武器</t>
  </si>
  <si>
    <t>护腕、连击套装</t>
  </si>
  <si>
    <t>等级、坐骑、甲胄、守御天赋</t>
  </si>
  <si>
    <t>降低敌方对自己的暴击率。</t>
  </si>
  <si>
    <t>坐骑+8%</t>
  </si>
  <si>
    <t>真实伤害率</t>
  </si>
  <si>
    <t>暴伤流派终极、攻伐天赋终极</t>
  </si>
  <si>
    <t>特殊武器</t>
  </si>
  <si>
    <t>降低敌方对自己的暴击伤害。</t>
  </si>
  <si>
    <t>甲+24%+12%</t>
  </si>
  <si>
    <t>头+8%+8%</t>
  </si>
  <si>
    <t>鞋+8%+8%</t>
  </si>
  <si>
    <t>减少受到的真实伤害。</t>
  </si>
  <si>
    <t>C类属性</t>
  </si>
  <si>
    <t>减少受到的普攻伤害。</t>
  </si>
  <si>
    <t>减少受到的技能伤害。</t>
  </si>
  <si>
    <t>甲胄、守御天赋</t>
  </si>
  <si>
    <t>坐骑、不动流派</t>
  </si>
  <si>
    <t>武器、宠物</t>
  </si>
  <si>
    <t>提升敌方被控制的概率。</t>
  </si>
  <si>
    <t>武器12%+6%</t>
  </si>
  <si>
    <t>饰品6%+3%</t>
  </si>
  <si>
    <t>宠物8%</t>
  </si>
  <si>
    <t>流派+6%</t>
  </si>
  <si>
    <t>气血值加成%</t>
  </si>
  <si>
    <t>坐骑</t>
  </si>
  <si>
    <t>武器、宠物、输出流派</t>
  </si>
  <si>
    <t>降低被敌方控制的概率。</t>
  </si>
  <si>
    <t>护盾强度</t>
  </si>
  <si>
    <t>不动流派、甲胄</t>
  </si>
  <si>
    <t>守御天赋、饰品</t>
  </si>
  <si>
    <t>宠物、坐骑主给、武器</t>
  </si>
  <si>
    <t>降低被敌方减益/异常状态命中的概率。</t>
  </si>
  <si>
    <t>守御天赋</t>
  </si>
  <si>
    <t>宠物、坐骑、武器</t>
  </si>
  <si>
    <t>反击率%</t>
  </si>
  <si>
    <t>被攻击后触发反击的概率。</t>
  </si>
  <si>
    <t>武器18%+9%</t>
  </si>
  <si>
    <t>戒指8%+4%</t>
  </si>
  <si>
    <t>饰品8%+4%</t>
  </si>
  <si>
    <t>坐骑+7%</t>
  </si>
  <si>
    <t>坐骑、守御天赋</t>
  </si>
  <si>
    <t>甲胄</t>
  </si>
  <si>
    <t>武器、宠物、暴伤流派</t>
  </si>
  <si>
    <t>吸血率%</t>
  </si>
  <si>
    <t>造成伤害时按百分比转化为气血回复。</t>
  </si>
  <si>
    <t>宠物+7%</t>
  </si>
  <si>
    <t>效果命中%</t>
  </si>
  <si>
    <t>提高减益与异常状态的命中概率。</t>
  </si>
  <si>
    <t>戒指8%</t>
  </si>
  <si>
    <t>饰品8%</t>
  </si>
  <si>
    <t>宠物+8%</t>
  </si>
  <si>
    <t>流派+10%</t>
  </si>
  <si>
    <t>D类属性</t>
  </si>
  <si>
    <t>战斗开始时所拥有的能量值。</t>
  </si>
  <si>
    <t>武器20</t>
  </si>
  <si>
    <t>盔甲20</t>
  </si>
  <si>
    <t>宠物+20</t>
  </si>
  <si>
    <t>能量获取效率%</t>
  </si>
  <si>
    <t>按百分比放大所有来源获得的能量。</t>
  </si>
  <si>
    <t>武器20%+10%</t>
  </si>
  <si>
    <t>盔甲20%+10%</t>
  </si>
  <si>
    <t>饰品10%</t>
  </si>
  <si>
    <t>戒指10%</t>
  </si>
  <si>
    <t>坐骑+20%</t>
  </si>
  <si>
    <t>护腕、机巧天赋</t>
  </si>
  <si>
    <t>连击流派、暴伤流派</t>
  </si>
  <si>
    <t>溅射%</t>
  </si>
  <si>
    <t>攻击主目标时对相邻目标造成的伤害比例。</t>
  </si>
  <si>
    <t>鞋子、闪避流派</t>
  </si>
  <si>
    <t>机巧天赋</t>
  </si>
  <si>
    <t>武器、甲胄</t>
  </si>
  <si>
    <t>破甲%</t>
  </si>
  <si>
    <t>降低目标防御，可叠加层数。</t>
  </si>
  <si>
    <t>武器10%+5%</t>
  </si>
  <si>
    <t>饰品4%+2%</t>
  </si>
  <si>
    <t>宠物5%</t>
  </si>
  <si>
    <t>易伤%</t>
  </si>
  <si>
    <t>提高目标受到的伤害。</t>
  </si>
  <si>
    <t>宠物20%</t>
  </si>
  <si>
    <t>流派20%</t>
  </si>
  <si>
    <t>护盾加成%</t>
  </si>
  <si>
    <t>放大所有来源提供的护盾值。</t>
  </si>
  <si>
    <t>盔甲24%+12%</t>
  </si>
  <si>
    <t>头盔11%+6%</t>
  </si>
  <si>
    <t>鞋子11%+6%</t>
  </si>
  <si>
    <t>流派+30%</t>
  </si>
  <si>
    <t>护盾削减%</t>
  </si>
  <si>
    <t>降低目标获得的护盾值。</t>
  </si>
  <si>
    <t>宠物10%</t>
  </si>
  <si>
    <t>流派10%</t>
  </si>
  <si>
    <t>反伤加成%</t>
  </si>
  <si>
    <t>放大反弹伤害的数值。</t>
  </si>
  <si>
    <t>盔甲50%+25%</t>
  </si>
  <si>
    <t>头盔25%+10%</t>
  </si>
  <si>
    <t>鞋子25%+10%</t>
  </si>
  <si>
    <t>坐骑+50%</t>
  </si>
  <si>
    <t>流派+50%</t>
  </si>
  <si>
    <t>反伤削减%</t>
  </si>
  <si>
    <t>降低目标反弹伤害的数值。</t>
  </si>
  <si>
    <t>吸血加成%</t>
  </si>
  <si>
    <t>放大吸血回复量。</t>
  </si>
  <si>
    <t>吸血削减%</t>
  </si>
  <si>
    <t>降低目标吸血的回复量。</t>
  </si>
  <si>
    <t>治疗加成%</t>
  </si>
  <si>
    <t>放大提供的治疗效果。</t>
  </si>
  <si>
    <t>F类属性</t>
  </si>
  <si>
    <t>治疗削减%</t>
  </si>
  <si>
    <t>降低目标受到的治疗效果。</t>
  </si>
  <si>
    <t>武器、甲胄、宠物</t>
  </si>
  <si>
    <t>武器、饰品</t>
  </si>
  <si>
    <t>攻伐天赋、特定流派</t>
  </si>
  <si>
    <t>控制成功率</t>
  </si>
  <si>
    <t>护腕、五行流派、机巧天赋</t>
  </si>
  <si>
    <t>将一定比例伤害转化为对应五行属性伤害。</t>
  </si>
  <si>
    <t>减少受到的对应五行属性伤害。</t>
  </si>
  <si>
    <t>等级</t>
  </si>
  <si>
    <t>类型</t>
  </si>
  <si>
    <t>常用描述</t>
  </si>
  <si>
    <t>示例</t>
  </si>
  <si>
    <t>转换</t>
  </si>
  <si>
    <t>一级属性</t>
  </si>
  <si>
    <t>属性点</t>
  </si>
  <si>
    <t>每级属性</t>
  </si>
  <si>
    <t>第一层</t>
  </si>
  <si>
    <t>基础数值</t>
  </si>
  <si>
    <t>BASE+ADDITIVE</t>
  </si>
  <si>
    <t>+100攻击</t>
  </si>
  <si>
    <t>第二层</t>
  </si>
  <si>
    <t>百分比加成</t>
  </si>
  <si>
    <t>PERCENTAGE</t>
  </si>
  <si>
    <t>加成</t>
  </si>
  <si>
    <t>+10%攻击加成</t>
  </si>
  <si>
    <t>第三层</t>
  </si>
  <si>
    <t>独立乘区</t>
  </si>
  <si>
    <t>MULTIPLICATIVE</t>
  </si>
  <si>
    <t>系数</t>
  </si>
  <si>
    <t>+10%攻击系数</t>
  </si>
  <si>
    <t>第四层</t>
  </si>
  <si>
    <t>最终乘区</t>
  </si>
  <si>
    <t>FINAL</t>
  </si>
  <si>
    <t>+10%最终攻击</t>
  </si>
  <si>
    <t>系统</t>
  </si>
  <si>
    <t>总属性点</t>
  </si>
  <si>
    <t>权重</t>
  </si>
  <si>
    <t>占比</t>
  </si>
  <si>
    <t>提供属性</t>
  </si>
  <si>
    <t>属性A</t>
  </si>
  <si>
    <t>装备</t>
  </si>
  <si>
    <t>属性A B C D E F + 属性增幅</t>
  </si>
  <si>
    <t>总装备</t>
  </si>
  <si>
    <t>主属性</t>
  </si>
  <si>
    <t>附加属性</t>
  </si>
  <si>
    <t>流派树</t>
  </si>
  <si>
    <t>技能 + 特性 + 属性增幅</t>
  </si>
  <si>
    <t>属性A B C D E F + 独立乘区</t>
  </si>
  <si>
    <t>系数6</t>
  </si>
  <si>
    <t>加成18</t>
  </si>
  <si>
    <t>属性 B C D E F + 最终乘区 + 特性</t>
  </si>
  <si>
    <t>法宝</t>
  </si>
  <si>
    <t>神器</t>
  </si>
  <si>
    <t>总属性点:</t>
  </si>
  <si>
    <t>统一属性价值模型 = 基础价值 + 期望收益 + 条件覆盖率 + 乘区位置 + 边际衰减</t>
  </si>
  <si>
    <t>1标准属性点</t>
  </si>
  <si>
    <t>=</t>
  </si>
  <si>
    <t>12气血</t>
  </si>
  <si>
    <t>2攻击</t>
  </si>
  <si>
    <t>2防御</t>
  </si>
  <si>
    <t>2命中</t>
  </si>
  <si>
    <t>2闪避</t>
  </si>
  <si>
    <t>2速度</t>
  </si>
  <si>
    <t>来源: 武器、戒指、护符</t>
  </si>
  <si>
    <t>同一装备最多出现1条真实伤害率词条。</t>
  </si>
  <si>
    <t>流派投放15%</t>
  </si>
  <si>
    <t>天赋投放10</t>
  </si>
  <si>
    <t>条件型真伤</t>
  </si>
  <si>
    <t>投放</t>
  </si>
  <si>
    <t>普攻伤害减免%</t>
  </si>
  <si>
    <t>技能伤害减免%</t>
  </si>
  <si>
    <t>将一部分伤害转化为真实伤害。不允许超过100%，普通伤害基数 = 伤害基数 × (1 - 真实伤害率%)</t>
  </si>
  <si>
    <t>真伤追加值</t>
  </si>
  <si>
    <t>10%-25%</t>
  </si>
  <si>
    <t>部位</t>
  </si>
  <si>
    <t>固定属性</t>
  </si>
  <si>
    <t>轻</t>
  </si>
  <si>
    <t>中</t>
  </si>
  <si>
    <t>重</t>
  </si>
  <si>
    <t>剑</t>
  </si>
  <si>
    <t>棍</t>
  </si>
  <si>
    <t>锤</t>
  </si>
  <si>
    <t>护甲</t>
  </si>
  <si>
    <t>布甲</t>
  </si>
  <si>
    <t>皮甲</t>
  </si>
  <si>
    <t>盔甲</t>
  </si>
  <si>
    <t>头部</t>
  </si>
  <si>
    <t>面</t>
  </si>
  <si>
    <t>冠</t>
  </si>
  <si>
    <t>头盔</t>
  </si>
  <si>
    <t>脚部</t>
  </si>
  <si>
    <t>布靴</t>
  </si>
  <si>
    <t>皮靴</t>
  </si>
  <si>
    <t>战靴</t>
  </si>
  <si>
    <t>护符</t>
  </si>
  <si>
    <t>—</t>
  </si>
  <si>
    <t>护腕</t>
  </si>
  <si>
    <t>品阶</t>
  </si>
  <si>
    <t>强化上限</t>
  </si>
  <si>
    <t>品质</t>
  </si>
  <si>
    <t>词条数量</t>
  </si>
  <si>
    <t>词条</t>
  </si>
  <si>
    <t>凡品</t>
  </si>
  <si>
    <t>凡</t>
  </si>
  <si>
    <t>核心属性</t>
  </si>
  <si>
    <t>玄品</t>
  </si>
  <si>
    <t>精</t>
  </si>
  <si>
    <t>连击率%</t>
  </si>
  <si>
    <t>真伤</t>
  </si>
  <si>
    <t>地品</t>
  </si>
  <si>
    <t>超</t>
  </si>
  <si>
    <t>爆伤</t>
  </si>
  <si>
    <t>天品</t>
  </si>
  <si>
    <t>绝</t>
  </si>
  <si>
    <t>仙品</t>
  </si>
  <si>
    <t>神</t>
  </si>
  <si>
    <t>闪避率%</t>
  </si>
  <si>
    <t>免伤</t>
  </si>
  <si>
    <t>气血回复</t>
  </si>
  <si>
    <t>反伤</t>
  </si>
  <si>
    <t>能量获取</t>
  </si>
  <si>
    <t>基础属性</t>
  </si>
  <si>
    <t>生存对抗</t>
  </si>
  <si>
    <t>机制功能</t>
  </si>
  <si>
    <t>独立系数</t>
  </si>
  <si>
    <t>效果命中、吸血率、治疗强度、真伤抗性</t>
  </si>
  <si>
    <t>连击率、反击率、初始能量、能量获取效率</t>
  </si>
  <si>
    <t>#</t>
  </si>
  <si>
    <t>名称</t>
  </si>
  <si>
    <t>效果</t>
  </si>
  <si>
    <t>预算归属</t>
  </si>
  <si>
    <t>锋锐</t>
  </si>
  <si>
    <t>自身气血≥80%时，伤害+6%</t>
  </si>
  <si>
    <t>蓝</t>
  </si>
  <si>
    <t>条件加成</t>
  </si>
  <si>
    <t>战意</t>
  </si>
  <si>
    <t>每次行动后伤害+2%，最多3层，脱战重置</t>
  </si>
  <si>
    <t>斩杀</t>
  </si>
  <si>
    <t>对气血&lt;35%目标伤害+8%</t>
  </si>
  <si>
    <t>橙</t>
  </si>
  <si>
    <t>破甲之势</t>
  </si>
  <si>
    <t>攻击带破甲目标时伤害+6%</t>
  </si>
  <si>
    <t>切后之势</t>
  </si>
  <si>
    <t>对暴露后排目标伤害+8%</t>
  </si>
  <si>
    <t>紫</t>
  </si>
  <si>
    <t>等级段</t>
  </si>
  <si>
    <t>1 - 10</t>
  </si>
  <si>
    <t>11 - 20</t>
  </si>
  <si>
    <t>21 - 30</t>
  </si>
  <si>
    <t>磐石</t>
  </si>
  <si>
    <t>护盾存在时免伤+5%</t>
  </si>
  <si>
    <t>免伤70%上限</t>
  </si>
  <si>
    <t>31 - 40</t>
  </si>
  <si>
    <t>不屈</t>
  </si>
  <si>
    <t>气血&lt;50%时免伤+6%</t>
  </si>
  <si>
    <t>41 - 50</t>
  </si>
  <si>
    <t>厚土</t>
  </si>
  <si>
    <t>护盾获取+10%</t>
  </si>
  <si>
    <t>护盾80%上限</t>
  </si>
  <si>
    <t>回春</t>
  </si>
  <si>
    <t>回合开始回复2%最大气血</t>
  </si>
  <si>
    <t>回复预算</t>
  </si>
  <si>
    <t>净化</t>
  </si>
  <si>
    <t>回合开始25%概率净化1个减益</t>
  </si>
  <si>
    <t>机制</t>
  </si>
  <si>
    <t>地脉</t>
  </si>
  <si>
    <t>受击后获得受击伤害30%的护盾（每回合≤10%最大气血）</t>
  </si>
  <si>
    <t>汲取</t>
  </si>
  <si>
    <t>吸血率+4%</t>
  </si>
  <si>
    <t>吸血预算</t>
  </si>
  <si>
    <t>反制</t>
  </si>
  <si>
    <t>反击率+5%</t>
  </si>
  <si>
    <t>反击80%上限</t>
  </si>
  <si>
    <t>连势</t>
  </si>
  <si>
    <t>连击率+5%</t>
  </si>
  <si>
    <t>连击230%软上限</t>
  </si>
  <si>
    <t>L2 可roll</t>
  </si>
  <si>
    <t>L3 可roll</t>
  </si>
  <si>
    <t>会心</t>
  </si>
  <si>
    <t>暴击率+4%</t>
  </si>
  <si>
    <t>暴击预算</t>
  </si>
  <si>
    <t>攻击/命中/速度加成</t>
  </si>
  <si>
    <t>气血/速度/闪避系数</t>
  </si>
  <si>
    <t>荆棘</t>
  </si>
  <si>
    <t>反伤+5%</t>
  </si>
  <si>
    <t>反伤60%上限</t>
  </si>
  <si>
    <t>衣服</t>
  </si>
  <si>
    <t>气血/防御/闪避加成</t>
  </si>
  <si>
    <t>防御/速度/闪避系数</t>
  </si>
  <si>
    <t>溅射+5%</t>
  </si>
  <si>
    <t>溅射预算</t>
  </si>
  <si>
    <t>气血/防御/命中加成</t>
  </si>
  <si>
    <t>气血/命中/闪避系数</t>
  </si>
  <si>
    <t>鞋子</t>
  </si>
  <si>
    <t>防御/闪避/命中加成</t>
  </si>
  <si>
    <t>气血/防御/命中系数</t>
  </si>
  <si>
    <t>气血/攻击/速度加成</t>
  </si>
  <si>
    <t>攻击/防御/速度系数</t>
  </si>
  <si>
    <t>疾影</t>
  </si>
  <si>
    <t>速度+3%</t>
  </si>
  <si>
    <t>速度克制预算</t>
  </si>
  <si>
    <t>戒指</t>
  </si>
  <si>
    <t>攻击/命中/气血系数</t>
  </si>
  <si>
    <t>聚气</t>
  </si>
  <si>
    <t>能量获取效率+6%</t>
  </si>
  <si>
    <t>能量预算</t>
  </si>
  <si>
    <t>先手</t>
  </si>
  <si>
    <t>每回合首次行动伤害+6%</t>
  </si>
  <si>
    <r>
      <rPr>
        <sz val="11"/>
        <color theme="1"/>
        <rFont val="宋体"/>
        <charset val="134"/>
        <scheme val="minor"/>
      </rPr>
      <t>凡、精品质装备</t>
    </r>
    <r>
      <rPr>
        <sz val="12"/>
        <color rgb="FF222222"/>
        <rFont val="Arial"/>
        <charset val="134"/>
      </rPr>
      <t>不可roll系数词条</t>
    </r>
    <r>
      <rPr>
        <sz val="12"/>
        <color rgb="FF222222"/>
        <rFont val="Arial"/>
        <charset val="134"/>
      </rPr>
      <t>（洗练池仅含L2加成）。</t>
    </r>
  </si>
  <si>
    <t>蓄势</t>
  </si>
  <si>
    <t>首回合速度+5%</t>
  </si>
  <si>
    <r>
      <rPr>
        <sz val="11"/>
        <color theme="1"/>
        <rFont val="宋体"/>
        <charset val="134"/>
        <scheme val="minor"/>
      </rPr>
      <t>超/绝/神可roll，</t>
    </r>
    <r>
      <rPr>
        <sz val="12"/>
        <color rgb="FF222222"/>
        <rFont val="Arial"/>
        <charset val="134"/>
      </rPr>
      <t>最低值4%</t>
    </r>
    <r>
      <rPr>
        <sz val="12"/>
        <color rgb="FF222222"/>
        <rFont val="Arial"/>
        <charset val="134"/>
      </rPr>
      <t>。</t>
    </r>
  </si>
  <si>
    <t>开局</t>
  </si>
  <si>
    <t>初始能量+10</t>
  </si>
  <si>
    <t>同属性系数仍限2件，2×15% = 30% = 装备L3预算上限。</t>
  </si>
  <si>
    <t>洞察</t>
  </si>
  <si>
    <t>命中率+4%</t>
  </si>
  <si>
    <t>命中95%上限</t>
  </si>
  <si>
    <t>轻身</t>
  </si>
  <si>
    <t>闪避率+4%</t>
  </si>
  <si>
    <t>闪避70%软上限</t>
  </si>
  <si>
    <t>寒冰</t>
  </si>
  <si>
    <t>暴击抵抗+5%</t>
  </si>
  <si>
    <t>对抗预算</t>
  </si>
  <si>
    <t>铁壁</t>
  </si>
  <si>
    <t>暴伤减免+6%</t>
  </si>
  <si>
    <t>定心</t>
  </si>
  <si>
    <t>控制豁免+5%</t>
  </si>
  <si>
    <t>财运</t>
  </si>
  <si>
    <t>金钱获取+10%</t>
  </si>
  <si>
    <t>经济（不占战斗预算）</t>
  </si>
  <si>
    <t>灵悟</t>
  </si>
  <si>
    <t>经验获取+8%</t>
  </si>
  <si>
    <t>经济</t>
  </si>
  <si>
    <t>寻宝</t>
  </si>
  <si>
    <t>装备掉落率+5%</t>
  </si>
  <si>
    <t>限定</t>
  </si>
  <si>
    <t>剑意·流光</t>
  </si>
  <si>
    <t>剑·连战</t>
  </si>
  <si>
    <t>连击触发后下次伤害+4%，最多3层，下回合重置</t>
  </si>
  <si>
    <t>棍法·回手</t>
  </si>
  <si>
    <t>棍·幻影</t>
  </si>
  <si>
    <t>反击触发后下次攻击伤害+8%</t>
  </si>
  <si>
    <t>锤势·碎甲</t>
  </si>
  <si>
    <t>锤·破军</t>
  </si>
  <si>
    <t>暴击时30%追加1层破甲（每回合≤2次）</t>
  </si>
  <si>
    <t>破甲预算</t>
  </si>
  <si>
    <t>斩杀刃</t>
  </si>
  <si>
    <t>武器·破军</t>
  </si>
  <si>
    <t>对气血&lt;35%目标暴击率+5%</t>
  </si>
  <si>
    <t>风刃</t>
  </si>
  <si>
    <t>武器·连战</t>
  </si>
  <si>
    <t>连击触发时20%获得1层风势（每回合≤2次）</t>
  </si>
  <si>
    <t>流派资源</t>
  </si>
  <si>
    <t>岩甲</t>
  </si>
  <si>
    <t>衣服·不动</t>
  </si>
  <si>
    <t>护盾存在时反伤+5%</t>
  </si>
  <si>
    <t>云丝甲</t>
  </si>
  <si>
    <t>闪避+3%，受到伤害-2%</t>
  </si>
  <si>
    <t>闪避70%/承伤</t>
  </si>
  <si>
    <t>鳞甲</t>
  </si>
  <si>
    <t>受击时反击率+5%</t>
  </si>
  <si>
    <t>重铠</t>
  </si>
  <si>
    <t>免伤+4%，速度-2%</t>
  </si>
  <si>
    <t>地脉甲</t>
  </si>
  <si>
    <t>气血&lt;50%时护盾获取+15%</t>
  </si>
  <si>
    <t>紫冠</t>
  </si>
  <si>
    <t>能量获取效率+8%</t>
  </si>
  <si>
    <t>铁盔</t>
  </si>
  <si>
    <t>灵面</t>
  </si>
  <si>
    <t>效果抵抗+6%</t>
  </si>
  <si>
    <t>战盔</t>
  </si>
  <si>
    <t>头盔·连战</t>
  </si>
  <si>
    <t>慧冠</t>
  </si>
  <si>
    <t>初始能量+15</t>
  </si>
  <si>
    <t>云步</t>
  </si>
  <si>
    <t>战步</t>
  </si>
  <si>
    <t>前排受到伤害-4%（抵消站位惩罚）</t>
  </si>
  <si>
    <t>站位修正</t>
  </si>
  <si>
    <t>影步</t>
  </si>
  <si>
    <t>靴·幻影</t>
  </si>
  <si>
    <t>闪避后下次命中+6%、伤害+4%</t>
  </si>
  <si>
    <t>疾步</t>
  </si>
  <si>
    <t>靴</t>
  </si>
  <si>
    <t>首回合速度+6%</t>
  </si>
  <si>
    <t>稳步</t>
  </si>
  <si>
    <t>控制豁免+6%</t>
  </si>
  <si>
    <t>连击之戒</t>
  </si>
  <si>
    <t>戒·连战</t>
  </si>
  <si>
    <t>连击率+6%</t>
  </si>
  <si>
    <t>暴击之戒</t>
  </si>
  <si>
    <t>戒·破军</t>
  </si>
  <si>
    <t>暴击伤害+8%</t>
  </si>
  <si>
    <t>暴伤300~350%</t>
  </si>
  <si>
    <t>荆棘之戒</t>
  </si>
  <si>
    <t>戒·不动</t>
  </si>
  <si>
    <t>反伤+6%</t>
  </si>
  <si>
    <t>真伤之戒</t>
  </si>
  <si>
    <t>戒</t>
  </si>
  <si>
    <t>真伤率+4%</t>
  </si>
  <si>
    <t>真伤预算</t>
  </si>
  <si>
    <t>吸血之戒</t>
  </si>
  <si>
    <t>吸血率+5%</t>
  </si>
  <si>
    <t>灭世·斩</t>
  </si>
  <si>
    <t>目标气血&lt;25%时，最终伤害提升+4%</t>
  </si>
  <si>
    <t>最终提升预算</t>
  </si>
  <si>
    <t>不动·山</t>
  </si>
  <si>
    <t>自身气血&lt;40%时，最终伤害减免+4%</t>
  </si>
  <si>
    <t>最终减免预算</t>
  </si>
  <si>
    <t>孤勇·绝</t>
  </si>
  <si>
    <t>无存活队友时，最终伤害提升+6%、命中率+5%</t>
  </si>
  <si>
    <t>同心·阵</t>
  </si>
  <si>
    <t>4队友全存活时，最终伤害提升+3%、免伤+3%</t>
  </si>
  <si>
    <t>双预算</t>
  </si>
  <si>
    <t>狂血</t>
  </si>
  <si>
    <t>伤害+12%，受到伤害+8%</t>
  </si>
  <si>
    <t>glass心（脆心）</t>
  </si>
  <si>
    <t>暴击率+10%，最大气血-8%</t>
  </si>
  <si>
    <t>弃防</t>
  </si>
  <si>
    <t>攻击加成+15%，防御-25%</t>
  </si>
  <si>
    <t>L2加成</t>
  </si>
  <si>
    <t>疾杀令</t>
  </si>
  <si>
    <t>速度+8%，免伤-5%</t>
  </si>
  <si>
    <t>速度克制</t>
  </si>
  <si>
    <t>燃血契</t>
  </si>
  <si>
    <t>吸血率+8%，受到治疗-20%</t>
  </si>
  <si>
    <t>先锋志</t>
  </si>
  <si>
    <t>前排时：反伤+8%、护盾获取+10%</t>
  </si>
  <si>
    <t>反伤60%/护盾80%</t>
  </si>
  <si>
    <t>藏锋意</t>
  </si>
  <si>
    <t>后排时：暴击率+5%，切后承伤+15%降为+8%</t>
  </si>
  <si>
    <t>暴击/站位修正</t>
  </si>
  <si>
    <t>暴露之怒</t>
  </si>
  <si>
    <t>暴露时：伤害+10%、命中率+5%</t>
  </si>
  <si>
    <t>列阵之势</t>
  </si>
  <si>
    <t>列攻击伤害+6%</t>
  </si>
  <si>
    <t>同列之约</t>
  </si>
  <si>
    <t>同列前排存活时伤害+5%；前排死亡时获15%最大气血护盾（取最高，一次性）</t>
  </si>
  <si>
    <t>护盾80%</t>
  </si>
  <si>
    <t>后手击</t>
  </si>
  <si>
    <t>本轮最后行动时伤害+8%</t>
  </si>
  <si>
    <t>先手击</t>
  </si>
  <si>
    <t>本轮最先行动时伤害+6%、命中+4%</t>
  </si>
  <si>
    <t>满盈之势</t>
  </si>
  <si>
    <t>能量满时伤害+5%</t>
  </si>
  <si>
    <t>杀意回</t>
  </si>
  <si>
    <t>击杀后回20能量（每回合1次）</t>
  </si>
  <si>
    <t>必杀之息</t>
  </si>
  <si>
    <t>每3回合首次攻击必暴击（妖王降为暴击+30%）</t>
  </si>
  <si>
    <t>克制目标</t>
  </si>
  <si>
    <t>穿棘刃</t>
  </si>
  <si>
    <t>50%伤害无视反伤结算</t>
  </si>
  <si>
    <t>反不动反伤</t>
  </si>
  <si>
    <t>精准之眼</t>
  </si>
  <si>
    <t>无视目标20%闪避率（命中仍≤95%）</t>
  </si>
  <si>
    <t>反幻影闪避</t>
  </si>
  <si>
    <t>破盾锤</t>
  </si>
  <si>
    <t>护盾伤害+15%，破盾后1回合命中+5%</t>
  </si>
  <si>
    <t>反不动护盾</t>
  </si>
  <si>
    <t>拒斩体</t>
  </si>
  <si>
    <t>免疫斩杀；气血&lt;35%时免伤+8%</t>
  </si>
  <si>
    <t>反破军斩杀</t>
  </si>
  <si>
    <t>净化打击</t>
  </si>
  <si>
    <t>命中后30%净化目标1个增益（每回合≤2次）</t>
  </si>
  <si>
    <t>反buff流</t>
  </si>
  <si>
    <t>五行放大</t>
  </si>
  <si>
    <t>五行附加伤害+8%、异常成功率+5%（仍不暴击不连击）</t>
  </si>
  <si>
    <t>五行预算</t>
  </si>
  <si>
    <t>异常利用</t>
  </si>
  <si>
    <t>攻击带异常目标伤害+6%</t>
  </si>
  <si>
    <t>五行护体</t>
  </si>
  <si>
    <t>五行抗性+10%，回合开始20%净化自身五行异常</t>
  </si>
  <si>
    <t>五行抗性</t>
  </si>
  <si>
    <t>挑战层内伤害+5%、掉落+5%</t>
  </si>
  <si>
    <t>高层追求</t>
  </si>
  <si>
    <t>福缘</t>
  </si>
  <si>
    <t>装备掉落+6%，词条roll值+5%</t>
  </si>
  <si>
    <t>洗练追求</t>
  </si>
  <si>
    <t>匠心</t>
  </si>
  <si>
    <t>强化费用-15%，升星材料-10%</t>
  </si>
  <si>
    <t>经济减压</t>
  </si>
  <si>
    <t>范围</t>
  </si>
  <si>
    <t>闪避流</t>
  </si>
  <si>
    <t>闪避率、速度、反击率</t>
  </si>
  <si>
    <t>命中率、闪避值</t>
  </si>
  <si>
    <t>暴伤、真伤、护盾主属性</t>
  </si>
  <si>
    <t>节点类型</t>
  </si>
  <si>
    <t>通用属性节点</t>
  </si>
  <si>
    <t>专属流派节点</t>
  </si>
  <si>
    <t>被动技能节点</t>
  </si>
  <si>
    <t>主动小技能节点</t>
  </si>
  <si>
    <t>例如：</t>
  </si>
  <si>
    <t>主动大技能节点</t>
  </si>
  <si>
    <t>终极节点示例</t>
  </si>
  <si>
    <t>连击流</t>
  </si>
  <si>
    <t>连击第3段后附加破甲，独立伤害+10%</t>
  </si>
  <si>
    <t>暴伤流</t>
  </si>
  <si>
    <t>暴击后目标获得破绽，暴伤独立+15%</t>
  </si>
  <si>
    <t>破军</t>
  </si>
  <si>
    <t>弱点洞察</t>
  </si>
  <si>
    <t>被动</t>
  </si>
  <si>
    <t>战斗开始暴击率+10%</t>
  </si>
  <si>
    <t>护盾反伤流</t>
  </si>
  <si>
    <t>护盾破碎后获得怒目，反伤独立+30%</t>
  </si>
  <si>
    <t>凶残</t>
  </si>
  <si>
    <t>暴击伤害+20%</t>
  </si>
  <si>
    <t>闪避成功后下次反击必中并致盲</t>
  </si>
  <si>
    <t>破绽洞察</t>
  </si>
  <si>
    <t>暴击施加1层破绽(上限3)，每层-5%目标免伤</t>
  </si>
  <si>
    <t>五行流</t>
  </si>
  <si>
    <t>五行异常触发率+10%，异常目标受五行伤害独立+12%</t>
  </si>
  <si>
    <t>暴击之势</t>
  </si>
  <si>
    <r>
      <rPr>
        <sz val="11"/>
        <color theme="1"/>
        <rFont val="宋体"/>
        <charset val="134"/>
        <scheme val="minor"/>
      </rPr>
      <t>暴击后下次</t>
    </r>
    <r>
      <rPr>
        <sz val="12"/>
        <color rgb="FF222222"/>
        <rFont val="Arial"/>
        <charset val="134"/>
      </rPr>
      <t>普攻</t>
    </r>
    <r>
      <rPr>
        <sz val="12"/>
        <color rgb="FF222222"/>
        <rFont val="Arial"/>
        <charset val="134"/>
      </rPr>
      <t>伤害+30%且必定触发1次连击(连击仅普攻可触发)</t>
    </r>
  </si>
  <si>
    <t>破盾</t>
  </si>
  <si>
    <t>对护盾目标暴击率+20%，护盾伤害+20%</t>
  </si>
  <si>
    <t>目标气血&lt;30%时暴击伤害+50%</t>
  </si>
  <si>
    <t>无情</t>
  </si>
  <si>
    <t>暴击无视10%防御</t>
  </si>
  <si>
    <t>每层所需点数</t>
  </si>
  <si>
    <t>通用</t>
  </si>
  <si>
    <t>连战</t>
  </si>
  <si>
    <t>不动</t>
  </si>
  <si>
    <t>幻影</t>
  </si>
  <si>
    <t>暴击溢出转化提升至每1%转0.8%暴伤</t>
  </si>
  <si>
    <t>学习被动</t>
  </si>
  <si>
    <t>学习小技能</t>
  </si>
  <si>
    <t>学习大技能</t>
  </si>
  <si>
    <t>攻击破绽目标附加目标10%最大气血真伤(单次上限自身攻击150%，Boss减半)</t>
  </si>
  <si>
    <t>1 + 1</t>
  </si>
  <si>
    <t>天崩</t>
  </si>
  <si>
    <t>每回合首次攻击必定暴击；溢出伤害(超出目标剩余气血部分)30%溅射其他敌人真伤</t>
  </si>
  <si>
    <t>12 + 24</t>
  </si>
  <si>
    <t>重击</t>
  </si>
  <si>
    <t>小技能</t>
  </si>
  <si>
    <t>单体</t>
  </si>
  <si>
    <t>130%伤害，本次暴击率+20%</t>
  </si>
  <si>
    <t>破绽斩</t>
  </si>
  <si>
    <t>150%伤害，暴击时额外+1层破绽</t>
  </si>
  <si>
    <t>暴伤</t>
  </si>
  <si>
    <t>反弹伤害</t>
  </si>
  <si>
    <t>弱点刺</t>
  </si>
  <si>
    <t>100%伤害，命中必定施加1层破绽(无需暴击)</t>
  </si>
  <si>
    <t>碎盾斩</t>
  </si>
  <si>
    <t>140%伤害，护盾伤害+50%，暴击时击破目标护盾</t>
  </si>
  <si>
    <t>6 + 12</t>
  </si>
  <si>
    <t>3 + 3</t>
  </si>
  <si>
    <t>12 + 12</t>
  </si>
  <si>
    <t>10 + 10</t>
  </si>
  <si>
    <t>5 + 5</t>
  </si>
  <si>
    <t>25 + 25</t>
  </si>
  <si>
    <t>4 + 8</t>
  </si>
  <si>
    <t>灭魂一击</t>
  </si>
  <si>
    <t>气血最低</t>
  </si>
  <si>
    <t>160%伤害，暴击率+15%(收割)</t>
  </si>
  <si>
    <t>怒斩</t>
  </si>
  <si>
    <t>120%伤害，消耗目标破绽，每层+20%伤害</t>
  </si>
  <si>
    <t>气血回复%</t>
  </si>
  <si>
    <t>普攻免伤</t>
  </si>
  <si>
    <t>技能免伤</t>
  </si>
  <si>
    <t>破阵斩</t>
  </si>
  <si>
    <t>列攻击</t>
  </si>
  <si>
    <t>同列前后排110%伤害，本技能暴击率+15%</t>
  </si>
  <si>
    <t>袭后斩</t>
  </si>
  <si>
    <t>切后</t>
  </si>
  <si>
    <t>无视前排保护130%伤害，目标暴露时暴伤+25%</t>
  </si>
  <si>
    <t>1 + 3</t>
  </si>
  <si>
    <t>穿甲刺</t>
  </si>
  <si>
    <t>110%伤害，施加1层裂甲(-5%防御)</t>
  </si>
  <si>
    <t>嗜血斩</t>
  </si>
  <si>
    <t>130%伤害，暴击时吸血本次伤害50%</t>
  </si>
  <si>
    <t>命中率%</t>
  </si>
  <si>
    <t>连击伤害</t>
  </si>
  <si>
    <t>大技能</t>
  </si>
  <si>
    <t>250%伤害，必定暴击，暴击+2层破绽</t>
  </si>
  <si>
    <t>屠戮</t>
  </si>
  <si>
    <t>全体</t>
  </si>
  <si>
    <t>150%伤害，本次暴击率+40%；暴击且目标&lt;30%血直接斩杀(Boss免疫)</t>
  </si>
  <si>
    <t>破绽爆</t>
  </si>
  <si>
    <t>200%伤害，消耗全部破绽每层+40%伤害；消耗≥3层时目标眩晕1回合(Boss抗性生效)</t>
  </si>
  <si>
    <t>碎盾军</t>
  </si>
  <si>
    <t>140%伤害，护盾伤害+100%，暴击时击破目标护盾</t>
  </si>
  <si>
    <t>第五层</t>
  </si>
  <si>
    <t>处刑闪</t>
  </si>
  <si>
    <t>280%伤害，击杀目标时立即获得1次额外行动(每场1次)</t>
  </si>
  <si>
    <t>弱点灭</t>
  </si>
  <si>
    <t>300%伤害，无视30%防御，目标每1%免伤转1%本次暴伤</t>
  </si>
  <si>
    <t>6 + 10</t>
  </si>
  <si>
    <t>8 + 8</t>
  </si>
  <si>
    <t>杀意域</t>
  </si>
  <si>
    <t>领域</t>
  </si>
  <si>
    <t>2回合：敌方全体受暴伤+15%，斩杀线提升至40%</t>
  </si>
  <si>
    <t>崩天击</t>
  </si>
  <si>
    <t>320%伤害，溢出伤害50%溅射其他敌人真伤</t>
  </si>
  <si>
    <t>第六层</t>
  </si>
  <si>
    <t>必杀</t>
  </si>
  <si>
    <t>220%伤害，本次暴击伤害+100%</t>
  </si>
  <si>
    <t>灭绝</t>
  </si>
  <si>
    <t>160%伤害，消耗全体目标破绽，每层追加1段60%攻击(上限+3段)</t>
  </si>
  <si>
    <t>磐石体</t>
  </si>
  <si>
    <t>开局免伤+10%；回合开始获15%最大气血护盾</t>
  </si>
  <si>
    <t>怒目</t>
  </si>
  <si>
    <t>有盾反伤+20%；盾碎嘲讽1回合且反伤+30%</t>
  </si>
  <si>
    <t>第七层</t>
  </si>
  <si>
    <t>吸血效果加成%</t>
  </si>
  <si>
    <t>护盾系数</t>
  </si>
  <si>
    <t>单次受伤≤25%最大气血；反伤无视防御</t>
  </si>
  <si>
    <t>2 + 2</t>
  </si>
  <si>
    <t>有盾时反弹+10%(结算受60%上限约束)</t>
  </si>
  <si>
    <t>192 + 384</t>
  </si>
  <si>
    <t>24 + 48</t>
  </si>
  <si>
    <t>10 + 20</t>
  </si>
  <si>
    <t>8 + 16</t>
  </si>
  <si>
    <t>护盾值+20%</t>
  </si>
  <si>
    <t>山震</t>
  </si>
  <si>
    <t>受击后攻击者速度-10(2回合，上限2层)</t>
  </si>
  <si>
    <t>第八层</t>
  </si>
  <si>
    <t>治疗加成</t>
  </si>
  <si>
    <t>岩势</t>
  </si>
  <si>
    <t>免伤+10%；气血&lt;50%时护盾获取+50%</t>
  </si>
  <si>
    <t>怒目余威</t>
  </si>
  <si>
    <t>盾碎时攻击者获"岩蚀"(-10%伤害，2回合)</t>
  </si>
  <si>
    <t>5 + 10</t>
  </si>
  <si>
    <t>不动山</t>
  </si>
  <si>
    <t>反伤30%转化护盾(每回合上限20%最大气血)</t>
  </si>
  <si>
    <t>大地之怒</t>
  </si>
  <si>
    <t>盾碎时对全体敌人100%伤害并施加1层裂甲</t>
  </si>
  <si>
    <t>第九层</t>
  </si>
  <si>
    <t>最终伤害</t>
  </si>
  <si>
    <t>双倍掉落</t>
  </si>
  <si>
    <t>普攻系数</t>
  </si>
  <si>
    <t>暴伤抵抗</t>
  </si>
  <si>
    <t>磐石盾</t>
  </si>
  <si>
    <t>自身</t>
  </si>
  <si>
    <t>获20%最大气血护盾</t>
  </si>
  <si>
    <t>震地</t>
  </si>
  <si>
    <t>100%伤害，嘲讽1回合</t>
  </si>
  <si>
    <t>16 + 32</t>
  </si>
  <si>
    <t>反震击</t>
  </si>
  <si>
    <t>140%伤害，自身反伤+20%(2回合)</t>
  </si>
  <si>
    <t>守护击</t>
  </si>
  <si>
    <t>120%伤害，最低血队友获10%护盾</t>
  </si>
  <si>
    <t>第十层</t>
  </si>
  <si>
    <t>闪避后造成一次50%的真伤攻击</t>
  </si>
  <si>
    <t>岩壁垒</t>
  </si>
  <si>
    <t>免伤+15%(1回合)</t>
  </si>
  <si>
    <t>碎地震</t>
  </si>
  <si>
    <t>同列110%伤害，目标速度-10(2回合)</t>
  </si>
  <si>
    <t>8 + 18</t>
  </si>
  <si>
    <t>盾击</t>
  </si>
  <si>
    <t>有盾时+30%伤害(130%基础)1</t>
  </si>
  <si>
    <t>踏陷斩</t>
  </si>
  <si>
    <t>130%伤害，目标有裂甲时+20%</t>
  </si>
  <si>
    <t>斥盾</t>
  </si>
  <si>
    <t>消耗当前盾50%，对目标造成等量真伤</t>
  </si>
  <si>
    <t>大地之骨</t>
  </si>
  <si>
    <t>全体友军获8%最大气血护盾</t>
  </si>
  <si>
    <t>地裂</t>
  </si>
  <si>
    <t>130%伤害，反伤+50%(2回合)，自身获20%护盾</t>
  </si>
  <si>
    <t>怒目地狱</t>
  </si>
  <si>
    <t>嘲讽全体2回合，本回合反伤+40%(封顶60%)；攻击者立即受1次反伤判定</t>
  </si>
  <si>
    <t>山岳压</t>
  </si>
  <si>
    <t>240%伤害，有盾时消耗护盾则伤害翻倍</t>
  </si>
  <si>
    <t>暴伤流 → 克制 → 反击流   (低频高爆发+斩杀，少喂反击，真伤收尾)</t>
  </si>
  <si>
    <t>大地护盾</t>
  </si>
  <si>
    <t>友军获20%护盾(取最高)，有盾期间免伤+10%(2回合)</t>
  </si>
  <si>
    <t>反击流 → 克制 → 连击流   (多段高频攻击疯狂喂反击)</t>
  </si>
  <si>
    <t>反震风暴</t>
  </si>
  <si>
    <t>120%伤害，本回合受击反伤按1.5倍结算</t>
  </si>
  <si>
    <t>连击流 → 克制 → 闪避流   (多段判定+裂甲削防+命中堆叠)</t>
  </si>
  <si>
    <t>净化debuff，免伤+25%(2回合)</t>
  </si>
  <si>
    <t>闪避流 → 克制 → 暴伤流   (高闪避使暴击判定落空，迷踪压命中)</t>
  </si>
  <si>
    <t>2回合：友军免伤+15%，攻击者受击挂岩蚀</t>
  </si>
  <si>
    <t>站位</t>
  </si>
  <si>
    <t>队伍职责</t>
  </si>
  <si>
    <t>AI 优先级</t>
  </si>
  <si>
    <t>巨石阵</t>
  </si>
  <si>
    <t>220%伤害，目标无护盾时眩晕1回合</t>
  </si>
  <si>
    <t>后排主C</t>
  </si>
  <si>
    <t>持续削甲+高频输出</t>
  </si>
  <si>
    <t>防御最低 → 暴露后排</t>
  </si>
  <si>
    <t>山体</t>
  </si>
  <si>
    <t>2回合：免伤+30%、反伤+30%，免疫1次控制</t>
  </si>
  <si>
    <t>爆发+收割</t>
  </si>
  <si>
    <t>气血最低 → 攻击最高</t>
  </si>
  <si>
    <t>灭世震</t>
  </si>
  <si>
    <t>160%伤害，全体敌人速度-20(2回合)</t>
  </si>
  <si>
    <t>后排副C/干扰</t>
  </si>
  <si>
    <t>切后+致盲干扰</t>
  </si>
  <si>
    <t>暴露后排 → 速度最低</t>
  </si>
  <si>
    <t>残影诀</t>
  </si>
  <si>
    <t>闪避成功时获得1层残影（上限5层），每层残影闪避率+2%</t>
  </si>
  <si>
    <t>反击流</t>
  </si>
  <si>
    <t>前排承伤副C</t>
  </si>
  <si>
    <t>承伤+反制+嘲讽</t>
  </si>
  <si>
    <t>维持嘲讽 → 保护低血队友</t>
  </si>
  <si>
    <t>影袭本能</t>
  </si>
  <si>
    <t>闪避成功后立即反击，反击伤害+15%（反击不占回合，上限80%反击率内）</t>
  </si>
  <si>
    <t>迷踪步</t>
  </si>
  <si>
    <t>战斗开始时速度+10%、闪避值+10%</t>
  </si>
  <si>
    <t>蚀目</t>
  </si>
  <si>
    <t>反击命中时30%概率致盲目标1回合（致盲：命中率-30%）</t>
  </si>
  <si>
    <t>影分身</t>
  </si>
  <si>
    <t>每回合首次受击若闪避，生成1个分身吸收1次攻击（每回合上限1个）</t>
  </si>
  <si>
    <t>对满血敌人必定暴击</t>
  </si>
  <si>
    <t>无形</t>
  </si>
  <si>
    <t>位于后排时闪避率+8%（契合后排站位定位）</t>
  </si>
  <si>
    <t>对满血敌人伤害系数+50%</t>
  </si>
  <si>
    <t>影遁</t>
  </si>
  <si>
    <t>气血低于40%时闪避率+10%、速度+15%（残血爆发保命）</t>
  </si>
  <si>
    <t>破绽窥伺</t>
  </si>
  <si>
    <t>对致盲目标攻击必定命中且暴击率+15%</t>
  </si>
  <si>
    <t>连影</t>
  </si>
  <si>
    <t>反击后有30%概率追加1次普攻（每回合上限1次，不可连击）</t>
  </si>
  <si>
    <t>幻影大师</t>
  </si>
  <si>
    <t>残影满层时，闪避后下次行动必定触发强化影袭（130%倍率反击）</t>
  </si>
  <si>
    <t>影袭</t>
  </si>
  <si>
    <t>130%倍率普攻，每层残影为本回合提供+5%闪避率</t>
  </si>
  <si>
    <t>闪避率+15%（2回合），速度+10</t>
  </si>
  <si>
    <t>蚀目镖</t>
  </si>
  <si>
    <t>100%伤害，80%概率致盲1回合</t>
  </si>
  <si>
    <t>生成1个分身吸收2次攻击（2回合）</t>
  </si>
  <si>
    <t>残影斩</t>
  </si>
  <si>
    <t>120%伤害，每层残影+8%伤害，命中后消耗1层残影</t>
  </si>
  <si>
    <t>瞬影刺</t>
  </si>
  <si>
    <t>无视前排保护120%伤害，目标暴露时必定暴击</t>
  </si>
  <si>
    <t>影双击</t>
  </si>
  <si>
    <t>连续2段90%伤害，第2段必定命中</t>
  </si>
  <si>
    <t>烟幕</t>
  </si>
  <si>
    <t>敌全体</t>
  </si>
  <si>
    <t>敌方全体命中率-15%（2回合）</t>
  </si>
  <si>
    <t>影缚</t>
  </si>
  <si>
    <t>110%伤害，目标速度-15（2回合），自身速度+10</t>
  </si>
  <si>
    <t>灭影击</t>
  </si>
  <si>
    <t>140%伤害，目标致盲时必定暴击（收割）</t>
  </si>
  <si>
    <t>万影归一</t>
  </si>
  <si>
    <t>280%伤害，消耗全部残影，每层追加1段60%伤害</t>
  </si>
  <si>
    <t>幻影风暴</t>
  </si>
  <si>
    <t>140%伤害，本回合自身闪避率+20%（软上限70%内）</t>
  </si>
  <si>
    <t>影遁无踪</t>
  </si>
  <si>
    <t>2回合：全体友军闪避率+12%；受致命伤害保留1点气血（每场1次）</t>
  </si>
  <si>
    <t>无相</t>
  </si>
  <si>
    <t>2回合内前2次受击必定闪避（每场1次，防无限闪避）</t>
  </si>
  <si>
    <t>影杀阵</t>
  </si>
  <si>
    <t>300%伤害，若本回合已闪避过则必定暴击且暴伤+50%</t>
  </si>
  <si>
    <t>千影乱舞</t>
  </si>
  <si>
    <t>连续4段80%伤害（每段独立判定），对致盲目标每段+30%</t>
  </si>
  <si>
    <t>幻化</t>
  </si>
  <si>
    <t>残影直接叠满，2回合内闪避反击必定致盲</t>
  </si>
  <si>
    <t>灭世影袭</t>
  </si>
  <si>
    <t>320%伤害，击杀后闪避率+25%（2回合）并获得1次额外行动（每场1次）</t>
  </si>
  <si>
    <t>幻影分身阵</t>
  </si>
  <si>
    <t>友全体</t>
  </si>
  <si>
    <t>全体友军各获1个分身（吸收1次攻击，不可叠加）</t>
  </si>
  <si>
    <t>终焉之影</t>
  </si>
  <si>
    <t>340%伤害，无视目标50%免伤；目标致盲时伤害+80%（Boss减为+40%）</t>
  </si>
  <si>
    <t>攻击时敌人每层风势使自身连击率+5%</t>
  </si>
  <si>
    <t>每层裂甲使敌人破甲4%</t>
  </si>
  <si>
    <t>每层风意提升3%连击率和3%连击伤害</t>
  </si>
  <si>
    <t>连击气势</t>
  </si>
  <si>
    <t>普攻命中为敌人叠加1层【风势】（最高8层），超过的风势50%为自己增加一层【风意】。</t>
  </si>
  <si>
    <t>1 + 2</t>
  </si>
  <si>
    <t>普攻命中为敌人叠加1层【裂甲】（最高8层）。</t>
  </si>
  <si>
    <t>3 + 1</t>
  </si>
  <si>
    <t>风势≥4层时，连击命中时额外追加1层【裂甲】，连击伤害系数+10%。</t>
  </si>
  <si>
    <t>风势满溢</t>
  </si>
  <si>
    <t>3 + 2</t>
  </si>
  <si>
    <t>敌人身上每层【风势】，让玩家回合开始速度系数+5%。</t>
  </si>
  <si>
    <t>裂甲透骨</t>
  </si>
  <si>
    <t>目标每有1层【裂甲】，自身对其造成的普攻伤害系数+5%。</t>
  </si>
  <si>
    <t>6 + 1</t>
  </si>
  <si>
    <t>每次触发连击给对方叠加1层【易损】【蹒跚】，回合结束清空。</t>
  </si>
  <si>
    <t>6 + 2</t>
  </si>
  <si>
    <t>触发连击时对随机另一名敌人造成50%溅射伤害。</t>
  </si>
  <si>
    <t>风痕</t>
  </si>
  <si>
    <t>8 + 1</t>
  </si>
  <si>
    <t>敌人【风势】满层后，继续叠加的【风势】转化为【风痕】，每层【风痕】使目标受到的物理伤害+5%（最高10层）。</t>
  </si>
  <si>
    <t>裂甲爆裂</t>
  </si>
  <si>
    <t>8 + 3</t>
  </si>
  <si>
    <t>当目标【裂甲】达到5层时，下次普攻额外追加2段连击，并消耗所有裂甲，每消耗1层使连击伤害系数+10%。</t>
  </si>
  <si>
    <t>风势涌</t>
  </si>
  <si>
    <t>每次连击使下次普攻加成+15%，命中加成+10%</t>
  </si>
  <si>
    <t>单次普攻连击达4段时，第5段+50%伤害且无视20%防御</t>
  </si>
  <si>
    <t>迅风击</t>
  </si>
  <si>
    <t>给对方叠加1层【风势】，以130%倍率进行一次普攻。</t>
  </si>
  <si>
    <t>裂甲击</t>
  </si>
  <si>
    <t>给对方叠加1层【裂甲】，以140%倍率进行一次普攻。</t>
  </si>
  <si>
    <t>随机普攻两个敌人，此次攻击将50%连击几率转为普攻加成。</t>
  </si>
  <si>
    <t>随机普攻一个敌人，此次攻击将100%连击几率转为普攻加成。</t>
  </si>
  <si>
    <t>连击后叠战意(上限3)，每层+10%普攻伤害</t>
  </si>
  <si>
    <t>120%伤害，消耗全部风势：每层+10%伤害并施加1层裂甲</t>
  </si>
  <si>
    <t>微风</t>
  </si>
  <si>
    <t>对敌方两个敌人添加2层风痕，下回合连击率+50%</t>
  </si>
  <si>
    <t>260%伤害，消耗目标裂甲每层+40%</t>
  </si>
  <si>
    <t>普攻连击触发后连击伤害+30%且不衰减</t>
  </si>
  <si>
    <t>连击有50%概率无视护盾</t>
  </si>
  <si>
    <t>追风</t>
  </si>
  <si>
    <t>斗战真身：风势≥1 层时伤害独立+10%；连击命中追加 1 层裂甲（裂甲上限不变）</t>
  </si>
  <si>
    <t>无影</t>
  </si>
  <si>
    <t>疾风无情：疾风状态+1 回合，列攻击额外+1 目标</t>
  </si>
  <si>
    <t>破军天诛：斩杀线+5%（Boss 减半），斩杀线内暴伤独立+15%</t>
  </si>
  <si>
    <t>势破天惊：破盾后下次暴击独立+15%，对盾暴击率+10%</t>
  </si>
  <si>
    <t>风势滔天</t>
  </si>
  <si>
    <t>明王镇岳：护盾破碎获明王 2 回合（免伤独立+15%、反伤+30%），CD3 回合</t>
  </si>
  <si>
    <t>大地回鸣：反伤值的 50% 转化为气血（受治疗削减影响）</t>
  </si>
  <si>
    <t>无影连斩</t>
  </si>
  <si>
    <t>幻影无形：闪避成功后 100% 反击（仍受反击率 80%、每回合 2~3 次上限）</t>
  </si>
  <si>
    <t>风狂</t>
  </si>
  <si>
    <t>无形杀：闪避后下次攻击暴击率+30% 并无视 20% 防御</t>
  </si>
  <si>
    <t>普攻叠风势,每层+5%连击，最高8层</t>
  </si>
  <si>
    <t>触发连击时，降敌敌人5%防御，最高6层</t>
  </si>
  <si>
    <t>本回合每触发1段连击，普攻系数+5%(最高+25%)，下回合重置</t>
  </si>
  <si>
    <t>风势满层后，添加的风势转为风痕，每层风痕，敌人易伤+5%</t>
  </si>
  <si>
    <t>连击段对随机另一名敌人造成50%溅射伤害</t>
  </si>
  <si>
    <t>风势满层后，每次普攻消耗1层风势，该次普攻系数+30%</t>
  </si>
  <si>
    <t>大招</t>
  </si>
  <si>
    <t>进入风灵状态2回合：普攻倍率+50%、连击率+50%；发动时对随机敌人进行1次普攻</t>
  </si>
  <si>
    <t>风之杀机</t>
  </si>
  <si>
    <t>获得5层【风意】，对要攻击的敌人附加5层【风痕】、3层【裂甲】；普攻加成+100%，回合结束清空；进行一次普攻。</t>
  </si>
  <si>
    <t>风啸</t>
  </si>
  <si>
    <t>对敌方前排全体施加5层【裂甲】，进行一次普攻。若击杀前排目标，则对同列后排进行一次普攻。</t>
  </si>
  <si>
    <t>风神怒</t>
  </si>
  <si>
    <t>普攻加成+100%，回合结束清空，消耗敌人所有的【风势】【风痕】，每层+15%连击率，+5%普攻系数，+5%伤害系数，进行一次普攻。</t>
  </si>
  <si>
    <t>飓风袭击</t>
  </si>
  <si>
    <t>对全体敌人造成200%伤害，敌人身上每有一层【风势】【风痕】【裂甲】，普攻伤害+5%。若总消耗层数≥10，使全体敌人眩晕1回合。</t>
  </si>
  <si>
    <t>宠物属性收窄</t>
  </si>
  <si>
    <t>坐骑属性收窄</t>
  </si>
  <si>
    <t>时</t>
  </si>
  <si>
    <t>1、2、3、4</t>
  </si>
  <si>
    <t>种类</t>
  </si>
  <si>
    <t>固定1(A)</t>
  </si>
  <si>
    <t>固定2(A)</t>
  </si>
  <si>
    <t>固定3</t>
  </si>
  <si>
    <t>固定5(独立被动)</t>
  </si>
  <si>
    <t>暴伤/连击率/真伤率/伤害加成/吸血率</t>
  </si>
  <si>
    <t>宠物属性类别</t>
  </si>
  <si>
    <t>坐骑属性类别</t>
  </si>
  <si>
    <t>是否推荐</t>
  </si>
  <si>
    <t>火·输出宠</t>
  </si>
  <si>
    <t>攻击+1.5/级</t>
  </si>
  <si>
    <t>速度+0.6/级</t>
  </si>
  <si>
    <t>暴击率+5%</t>
  </si>
  <si>
    <t>攻击灼烧目标时，伤害独立+8%</t>
  </si>
  <si>
    <t>命中率/暴击率/伤害加成/真伤率/吸血率</t>
  </si>
  <si>
    <t>主要属性</t>
  </si>
  <si>
    <t>固定</t>
  </si>
  <si>
    <t>等级成长</t>
  </si>
  <si>
    <t>强烈推荐</t>
  </si>
  <si>
    <t>坐骑核心</t>
  </si>
  <si>
    <t>金·破甲宠</t>
  </si>
  <si>
    <t>命中+1/级</t>
  </si>
  <si>
    <t>破甲+4%</t>
  </si>
  <si>
    <t>攻击防御高于自身目标，伤害独立+10%</t>
  </si>
  <si>
    <t>闪避率/暴击抵抗/效果命中/控制豁免/气血加成</t>
  </si>
  <si>
    <t>水·控制宠</t>
  </si>
  <si>
    <t>气血+8/级</t>
  </si>
  <si>
    <t>控制成功率+6%</t>
  </si>
  <si>
    <t>对速度高于自身目标，控制成功率+6%</t>
  </si>
  <si>
    <t>免伤率/控制豁免/效果抵抗/气血加成/防御加成</t>
  </si>
  <si>
    <t>推荐</t>
  </si>
  <si>
    <t>坐骑可承担生存</t>
  </si>
  <si>
    <t>木·辅助宠</t>
  </si>
  <si>
    <t>防御+1/级</t>
  </si>
  <si>
    <t>治疗强度+8%</t>
  </si>
  <si>
    <t>回合结束气血&lt;50%时，回复最大气血6%</t>
  </si>
  <si>
    <t>免伤率/反弹加成/暴击抵抗/气血加成/护盾加成</t>
  </si>
  <si>
    <t>坐骑可承担对抗</t>
  </si>
  <si>
    <t>土·守护宠</t>
  </si>
  <si>
    <t>护盾加成+8%</t>
  </si>
  <si>
    <t>护盾存在时，免伤独立+6%</t>
  </si>
  <si>
    <t>少量</t>
  </si>
  <si>
    <t>适合敏型坐骑</t>
  </si>
  <si>
    <t>固定4</t>
  </si>
  <si>
    <t>适合战马类坐骑</t>
  </si>
  <si>
    <t>疾风马</t>
  </si>
  <si>
    <t>速度+1/级</t>
  </si>
  <si>
    <t>闪避+1/级</t>
  </si>
  <si>
    <t>闪避率+5%</t>
  </si>
  <si>
    <t>速度加成+6%</t>
  </si>
  <si>
    <t>速度高于目标时，闪避率+5%</t>
  </si>
  <si>
    <t>闪避加成/命中率/反击率/控制豁免</t>
  </si>
  <si>
    <t xml:space="preserve">附加属性 </t>
  </si>
  <si>
    <t>2、3、4品质才有</t>
  </si>
  <si>
    <t>暴击率/暴伤</t>
  </si>
  <si>
    <t>不推荐</t>
  </si>
  <si>
    <t>避免坐骑抢输出系统职责</t>
  </si>
  <si>
    <t>玄龟</t>
  </si>
  <si>
    <t>免伤率+5%</t>
  </si>
  <si>
    <t>气血加成+8%</t>
  </si>
  <si>
    <t>护盾加成/反弹加成/暴击抵抗/免伤率</t>
  </si>
  <si>
    <t>攻击/命中/速度系数</t>
  </si>
  <si>
    <t>3、4品质才有</t>
  </si>
  <si>
    <t>留给饰品和天赋</t>
  </si>
  <si>
    <t>战虎</t>
  </si>
  <si>
    <t>反击率+6%</t>
  </si>
  <si>
    <t>反击伤害加成+10%</t>
  </si>
  <si>
    <t>被攻击后，反击率+8%，1回合</t>
  </si>
  <si>
    <t>暴击率/暴伤/吸血率/伤害加成</t>
  </si>
  <si>
    <t>留给宠物和五行系统</t>
  </si>
  <si>
    <t>白象</t>
  </si>
  <si>
    <t>免伤率+4%</t>
  </si>
  <si>
    <t>控制豁免+8%，受控后获1回合免伤+10%</t>
  </si>
  <si>
    <t>暴击抵抗/暴伤减免/气血加成/防御加成</t>
  </si>
  <si>
    <t>火麒麟</t>
  </si>
  <si>
    <t>伤害加成+6%</t>
  </si>
  <si>
    <t>攻击灼烧目标时，伤害独立+6%</t>
  </si>
  <si>
    <t>暴击率/暴伤/真伤率/吸血率</t>
  </si>
  <si>
    <t>推荐属性</t>
  </si>
  <si>
    <t>速度、闪避率、速度高于目标时闪避+5%</t>
  </si>
  <si>
    <t>火鸦</t>
  </si>
  <si>
    <t>火属性攻击%、灼烧触发率、攻击灼烧目标独立+8%</t>
  </si>
  <si>
    <t>气血、免伤率、护盾存在时免伤独立+6%</t>
  </si>
  <si>
    <t>水蛟</t>
  </si>
  <si>
    <t>水属性攻击%、迟缓触发率、对低速目标独立+8%</t>
  </si>
  <si>
    <t>速度、反击率、被攻击后反击率+8%</t>
  </si>
  <si>
    <t>金猊</t>
  </si>
  <si>
    <t>金属性攻击%、破甲触发率、对高防目标独立+10%</t>
  </si>
  <si>
    <t>控制豁免、暴击抵抗、受控制后获得1回合减伤</t>
  </si>
  <si>
    <t>6维加成</t>
  </si>
  <si>
    <t>木灵</t>
  </si>
  <si>
    <t>木属性攻击%、禁疗触发率、对回复目标独立+8%</t>
  </si>
  <si>
    <t>少量速度、火属性抗性、对灼烧目标独立减伤</t>
  </si>
  <si>
    <t>土熊</t>
  </si>
  <si>
    <t>土属性攻击%、护盾存在时免伤独立+6%</t>
  </si>
  <si>
    <t>亚种</t>
  </si>
  <si>
    <t>标准被动（固定5）</t>
  </si>
  <si>
    <t>火</t>
  </si>
  <si>
    <t>烈焰猿</t>
  </si>
  <si>
    <t>成长</t>
  </si>
  <si>
    <t>灼烧扩散：目标相邻1敌受50%灼烧伤害</t>
  </si>
  <si>
    <t>初生期</t>
  </si>
  <si>
    <t>少量A类属性</t>
  </si>
  <si>
    <t>金</t>
  </si>
  <si>
    <t>金猿</t>
  </si>
  <si>
    <t>幼年期</t>
  </si>
  <si>
    <t>金翅鸟</t>
  </si>
  <si>
    <t>命中率+5%</t>
  </si>
  <si>
    <t>对闪避高于自身目标，命中率+8%</t>
  </si>
  <si>
    <t>成长期</t>
  </si>
  <si>
    <t>水</t>
  </si>
  <si>
    <t>水猿</t>
  </si>
  <si>
    <t>成熟期</t>
  </si>
  <si>
    <t>水龟</t>
  </si>
  <si>
    <t>开场全体敌方速度-5%，1回合</t>
  </si>
  <si>
    <t>完全体</t>
  </si>
  <si>
    <t>木</t>
  </si>
  <si>
    <t>木兽</t>
  </si>
  <si>
    <t>对带治疗状态目标，伤害独立+8%</t>
  </si>
  <si>
    <t>变异</t>
  </si>
  <si>
    <t>土</t>
  </si>
  <si>
    <t>2基础属性 根据是宠物还是坐骑定位来 1 加成 1 独立 特性</t>
  </si>
  <si>
    <t>资质</t>
  </si>
  <si>
    <t>石犀</t>
  </si>
  <si>
    <t>反弹加成+8%</t>
  </si>
  <si>
    <t>护盾破碎后，反伤+10%，1回合</t>
  </si>
  <si>
    <t>突破</t>
  </si>
  <si>
    <t>变异被动</t>
  </si>
  <si>
    <t>对灼烧目标暴伤独立+10%</t>
  </si>
  <si>
    <r>
      <rPr>
        <sz val="12"/>
        <color rgb="FF222222"/>
        <rFont val="宋体"/>
        <charset val="134"/>
      </rPr>
      <t>宠物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属性加成</t>
    </r>
    <r>
      <rPr>
        <sz val="12"/>
        <color rgb="FF222222"/>
        <rFont val="Arial"/>
        <charset val="134"/>
      </rPr>
      <t xml:space="preserve"> 1</t>
    </r>
    <r>
      <rPr>
        <sz val="12"/>
        <color rgb="FF222222"/>
        <rFont val="宋体"/>
        <charset val="134"/>
      </rPr>
      <t>独立系数（品质</t>
    </r>
    <r>
      <rPr>
        <sz val="12"/>
        <color rgb="FF222222"/>
        <rFont val="Arial"/>
        <charset val="134"/>
      </rPr>
      <t>3,4</t>
    </r>
    <r>
      <rPr>
        <sz val="12"/>
        <color rgb="FF222222"/>
        <rFont val="宋体"/>
        <charset val="134"/>
      </rPr>
      <t>才有）</t>
    </r>
    <r>
      <rPr>
        <sz val="12"/>
        <color rgb="FF222222"/>
        <rFont val="Arial"/>
        <charset val="134"/>
      </rPr>
      <t xml:space="preserve"> (</t>
    </r>
    <r>
      <rPr>
        <sz val="12"/>
        <color rgb="FF222222"/>
        <rFont val="宋体"/>
        <charset val="134"/>
      </rPr>
      <t>攻击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命中</t>
    </r>
    <r>
      <rPr>
        <sz val="12"/>
        <color rgb="FF222222"/>
        <rFont val="Arial"/>
        <charset val="134"/>
      </rPr>
      <t xml:space="preserve"> </t>
    </r>
    <r>
      <rPr>
        <sz val="12"/>
        <color rgb="FF222222"/>
        <rFont val="宋体"/>
        <charset val="134"/>
      </rPr>
      <t>速度之一加成和独立系数</t>
    </r>
    <r>
      <rPr>
        <sz val="12"/>
        <color rgb="FF222222"/>
        <rFont val="Arial"/>
        <charset val="134"/>
      </rPr>
      <t xml:space="preserve">) </t>
    </r>
  </si>
  <si>
    <t>对带破甲目标，伤害独立+8%</t>
  </si>
  <si>
    <t xml:space="preserve">坐骑 气血 防御 闪避 1属性加成 1独立系数（品质3,4才有） (气血 防御 闪避之一加成和独立系数) </t>
  </si>
  <si>
    <t>控制成功后，下回合伤害独立+6%</t>
  </si>
  <si>
    <t>治疗溢出转4%最大气血护盾</t>
  </si>
  <si>
    <t>护盾存在时，反弹+15%</t>
  </si>
  <si>
    <t>固定1</t>
  </si>
  <si>
    <t>固定2</t>
  </si>
  <si>
    <t>标准被动</t>
  </si>
  <si>
    <t>闪避成功后速度+5%，1回合，叠2</t>
  </si>
  <si>
    <t>护盾存在时，反弹+10%</t>
  </si>
  <si>
    <t>反击命中时吸血+10%</t>
  </si>
  <si>
    <t>豁免控制成功后回复3%最大气血</t>
  </si>
  <si>
    <t>火攻+8%</t>
  </si>
  <si>
    <t>灼烧有25%概率延长1回合</t>
  </si>
  <si>
    <t>核心被动</t>
  </si>
  <si>
    <t>种族能力</t>
  </si>
  <si>
    <t>特质</t>
  </si>
  <si>
    <t>攻击灼烧目标，伤害独立+8%</t>
  </si>
  <si>
    <t>【每3回合】焚击：120%伤害并挂1层灼烧</t>
  </si>
  <si>
    <t>火攻+10%</t>
  </si>
  <si>
    <t>灼烧触发时50%扩散相邻（50%灼烧伤）</t>
  </si>
  <si>
    <t>命中后溅射+5%</t>
  </si>
  <si>
    <t>灼烧伤害+20%</t>
  </si>
  <si>
    <t>焰狮</t>
  </si>
  <si>
    <t>暴击时挂1层灼烧（每回合≤2）</t>
  </si>
  <si>
    <t>攻击防御高于自身目标，独立+10%</t>
  </si>
  <si>
    <t>【每3回合】目标挂1层破甲（2回合）</t>
  </si>
  <si>
    <t>对闪避高于自身目标，命中+8%</t>
  </si>
  <si>
    <t>开场全体友方命中率+5%（2回合）</t>
  </si>
  <si>
    <t>白虎</t>
  </si>
  <si>
    <t>对带破甲目标，独立+8%</t>
  </si>
  <si>
    <t>【每3回合】下次攻击真伤率+20%</t>
  </si>
  <si>
    <t>对速度快于自身目标，控制成功+6%</t>
  </si>
  <si>
    <t>【每4回合】减速目标（速度-10%，1回合）</t>
  </si>
  <si>
    <t>控制成功+6%</t>
  </si>
  <si>
    <t>开场全体敌方速度-5%（1回合）</t>
  </si>
  <si>
    <t>【每4回合】最低血友方获盾（8%最大气血）</t>
  </si>
  <si>
    <t>回合结束自身气血&lt;50%，回复6%</t>
  </si>
  <si>
    <t>【每3回合】治疗最低血友方5%</t>
  </si>
  <si>
    <t>对带治疗状态目标，独立+8%</t>
  </si>
  <si>
    <t>【每4回合】目标禁疗（1回合，Boss抗性）</t>
  </si>
  <si>
    <t>【每4回合】全体友方获盾（5%最大气血）</t>
  </si>
  <si>
    <t>护盾破碎后，反伤+10%（1回合）</t>
  </si>
  <si>
    <t>【每4回合】全体80%伤害并减速-5（1回合）</t>
  </si>
  <si>
    <t>金乌（隐藏）</t>
  </si>
  <si>
    <t>灼烧层数上限+1，灼烧伤害+30%</t>
  </si>
  <si>
    <t>【每3回合】全体100%伤害+灼烧</t>
  </si>
  <si>
    <t>火攻+15%</t>
  </si>
  <si>
    <t>灵猴（隐藏）</t>
  </si>
  <si>
    <t>未击杀时独立+6%（叠3，击杀清零）</t>
  </si>
  <si>
    <t>击杀后下次伤害+10%</t>
  </si>
  <si>
    <t>速度+0.8/级</t>
  </si>
  <si>
    <t>开场全体友方速度+3%（1回合）</t>
  </si>
  <si>
    <t>【每4回合】全体护盾加成+15%（2回合）</t>
  </si>
  <si>
    <t>被攻击后，反击率+8%（1回合）</t>
  </si>
  <si>
    <t>反击命中时回复3%最大气血</t>
  </si>
  <si>
    <t>【每5回合】净化全体1个减益</t>
  </si>
  <si>
    <t>攻击灼烧目标，独立+6%</t>
  </si>
  <si>
    <t>暴击时25%挂灼烧</t>
  </si>
  <si>
    <t>云豹</t>
  </si>
  <si>
    <t>攻击暴露后排时，独立+8%</t>
  </si>
  <si>
    <t>开场全体暴击率+5%（1回合）</t>
  </si>
  <si>
    <t>青龙（隐藏）</t>
  </si>
  <si>
    <t>全体五行附加伤害+10%</t>
  </si>
  <si>
    <t>【每4回合】全体伤害加成+8%（1回合）</t>
  </si>
  <si>
    <t>五抗+10%</t>
  </si>
  <si>
    <t>貔貅（隐藏）</t>
  </si>
  <si>
    <t>击杀时回复全队3%气血</t>
  </si>
  <si>
    <t>敌方获盾时，我方全体破盾伤害+10%</t>
  </si>
  <si>
    <t>天赋最终乘区收窄</t>
  </si>
  <si>
    <t>天赋分支设计</t>
  </si>
  <si>
    <t>最终乘区只应来自天赋终极节点。</t>
  </si>
  <si>
    <t>天赋分支</t>
  </si>
  <si>
    <t>最终乘区方向</t>
  </si>
  <si>
    <t>适合流派</t>
  </si>
  <si>
    <t>不建议属性</t>
  </si>
  <si>
    <t>攻伐</t>
  </si>
  <si>
    <t>最终伤害提升% / 最终攻击%</t>
  </si>
  <si>
    <t>暴击率、暴击伤害、伤害提升、真实伤害率、吸血率</t>
  </si>
  <si>
    <t>连击、暴伤</t>
  </si>
  <si>
    <t>护盾、反伤、免伤</t>
  </si>
  <si>
    <t>守御</t>
  </si>
  <si>
    <t>最终伤害减免% / 最终防御%</t>
  </si>
  <si>
    <t>免伤率、气血值加成、护盾强度、伤害反弹、暴击抵抗、暴伤减免</t>
  </si>
  <si>
    <t>护盾反伤</t>
  </si>
  <si>
    <t>暴击、连击、真伤</t>
  </si>
  <si>
    <t>五行</t>
  </si>
  <si>
    <t>最终五行伤害提升% / 最终五行抗性%</t>
  </si>
  <si>
    <t>五行攻击%、五行抗性%、控制成功率、五行易伤</t>
  </si>
  <si>
    <t>物理暴击主属性</t>
  </si>
  <si>
    <t>机巧</t>
  </si>
  <si>
    <t>最终闪避/命中相关收益，谨慎设计</t>
  </si>
  <si>
    <t>命中率、闪避率、反击率、速度、控制成功率</t>
  </si>
  <si>
    <t>闪避、控制</t>
  </si>
  <si>
    <t>暴伤、真伤主属性</t>
  </si>
  <si>
    <t>注意：</t>
  </si>
  <si>
    <t>SAP</t>
  </si>
  <si>
    <t>每个属性应设定来源预算。</t>
  </si>
  <si>
    <t>1单位属性点</t>
  </si>
  <si>
    <t>来源类型</t>
  </si>
  <si>
    <t>占该属性总预算</t>
  </si>
  <si>
    <t>1 SAP = 12气血 = 2攻击 = 2防御 = 2命中 = 2闪避 = 2速度</t>
  </si>
  <si>
    <t>60%~80%</t>
  </si>
  <si>
    <t>20%~40%</t>
  </si>
  <si>
    <t>禁止来源</t>
  </si>
  <si>
    <t>示例1：暴击率总预算</t>
  </si>
  <si>
    <t>假设满级标准玩家暴击率总预算为60%。</t>
  </si>
  <si>
    <t>实际投放</t>
  </si>
  <si>
    <t>暴伤流派</t>
  </si>
  <si>
    <t>攻伐天赋</t>
  </si>
  <si>
    <t>护腕副词条</t>
  </si>
  <si>
    <t>总计</t>
  </si>
  <si>
    <t>其他系统不应再提供暴击率。</t>
  </si>
  <si>
    <t>示例2：护盾强度总预算</t>
  </si>
  <si>
    <t>假设满级护盾强度总预算为50%。</t>
  </si>
  <si>
    <t>不动流派</t>
  </si>
  <si>
    <t>饰品副词条</t>
  </si>
  <si>
    <t>宠物和坐骑不应作为护盾强度主来源。</t>
  </si>
  <si>
    <t>示例3：速度总预算</t>
  </si>
  <si>
    <t>速度比较特殊，因为它是行动顺序核心。</t>
  </si>
  <si>
    <t>速度来源可以稍宽，但仍要收窄。</t>
  </si>
  <si>
    <t>等级固定成长</t>
  </si>
  <si>
    <t>基础速度</t>
  </si>
  <si>
    <t>自由属性点</t>
  </si>
  <si>
    <t>玩家选择</t>
  </si>
  <si>
    <t>装备鞋子</t>
  </si>
  <si>
    <t>鞋子主属性</t>
  </si>
  <si>
    <t>连击/闪避流派少量</t>
  </si>
  <si>
    <t>0%~5%</t>
  </si>
  <si>
    <t>机巧天赋少量</t>
  </si>
  <si>
    <t>天赋不建议大量给速度，否则终极天赋会变成速度竞赛。</t>
  </si>
  <si>
    <t>法宝主攻伐，神器主防守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</si>
</sst>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177" formatCode="_ * #,##0.00_ ;_ * \-#,##0.00_ ;_ * &quot;-&quot;??_ ;_ @_ "/>
    <numFmt numFmtId="178" formatCode="0.00_);[Red]\(0.00\)"/>
    <numFmt numFmtId="179" formatCode="_ &quot;￥&quot;* #,##0.00_ ;_ &quot;￥&quot;* \-#,##0.00_ ;_ &quot;￥&quot;* &quot;-&quot;??_ ;_ @_ "/>
    <numFmt numFmtId="180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2"/>
      <color rgb="FF222222"/>
      <name val="宋体"/>
      <charset val="134"/>
    </font>
    <font>
      <sz val="12"/>
      <color rgb="FF222222"/>
      <name val="Arial"/>
      <charset val="134"/>
    </font>
    <font>
      <sz val="10"/>
      <color rgb="FFF2858C"/>
      <name val="Consolas"/>
      <charset val="134"/>
    </font>
    <font>
      <b/>
      <sz val="11"/>
      <color theme="1"/>
      <name val="宋体"/>
      <charset val="134"/>
      <scheme val="minor"/>
    </font>
    <font>
      <sz val="10.5"/>
      <color rgb="FF222222"/>
      <name val="Arial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180" fontId="0" fillId="0" borderId="0" applyFon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3" fillId="14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4" fillId="19" borderId="4" applyNumberFormat="0" applyAlignment="0" applyProtection="0">
      <alignment vertical="center"/>
    </xf>
    <xf numFmtId="0" fontId="19" fillId="19" borderId="3" applyNumberFormat="0" applyAlignment="0" applyProtection="0">
      <alignment vertical="center"/>
    </xf>
    <xf numFmtId="0" fontId="23" fillId="31" borderId="7" applyNumberFormat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right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2" fillId="2" borderId="0" xfId="0" applyFont="1" applyFill="1" applyBorder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10" fontId="0" fillId="0" borderId="0" xfId="0" applyNumberForma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quotePrefix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6"/>
  <sheetViews>
    <sheetView topLeftCell="A16" workbookViewId="0">
      <selection activeCell="E24" sqref="E24:M70"/>
    </sheetView>
  </sheetViews>
  <sheetFormatPr defaultColWidth="9" defaultRowHeight="14.4" outlineLevelCol="3"/>
  <cols>
    <col min="8" max="8" width="16.6666666666667" customWidth="1"/>
    <col min="9" max="9" width="31.1111111111111" customWidth="1"/>
    <col min="10" max="13" width="16.6666666666667" customWidth="1"/>
  </cols>
  <sheetData>
    <row r="16" spans="4:4">
      <c r="D16" s="20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W117"/>
  <sheetViews>
    <sheetView workbookViewId="0">
      <selection activeCell="M17" sqref="M17"/>
    </sheetView>
  </sheetViews>
  <sheetFormatPr defaultColWidth="9" defaultRowHeight="14.4"/>
  <cols>
    <col min="1" max="1" width="15.7777777777778" customWidth="1"/>
    <col min="3" max="3" width="40.8796296296296" customWidth="1"/>
    <col min="4" max="4" width="12.8796296296296" customWidth="1"/>
    <col min="5" max="5" width="10.6666666666667" customWidth="1"/>
    <col min="6" max="11" width="14.6296296296296" customWidth="1"/>
    <col min="12" max="12" width="12.6296296296296" customWidth="1"/>
    <col min="13" max="16" width="10.6666666666667" customWidth="1"/>
    <col min="17" max="17" width="23.6296296296296" customWidth="1"/>
    <col min="18" max="18" width="24.8796296296296" customWidth="1"/>
  </cols>
  <sheetData>
    <row r="2" spans="1:8">
      <c r="A2" s="2" t="s">
        <v>0</v>
      </c>
      <c r="B2" s="2" t="s">
        <v>1</v>
      </c>
      <c r="C2" s="2" t="s">
        <v>2</v>
      </c>
      <c r="D2" s="2"/>
      <c r="E2" s="2"/>
      <c r="F2" s="2"/>
      <c r="G2" s="2"/>
      <c r="H2" s="2"/>
    </row>
    <row r="3" spans="1:10">
      <c r="A3" s="2" t="s">
        <v>3</v>
      </c>
      <c r="B3" s="2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J3" s="13"/>
    </row>
    <row r="4" spans="1:10">
      <c r="A4" s="2"/>
      <c r="B4" s="2" t="s">
        <v>11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J4" s="13"/>
    </row>
    <row r="5" spans="1:10">
      <c r="A5" s="2"/>
      <c r="B5" s="2" t="s">
        <v>18</v>
      </c>
      <c r="C5" t="s">
        <v>19</v>
      </c>
      <c r="D5" t="s">
        <v>20</v>
      </c>
      <c r="E5" t="s">
        <v>21</v>
      </c>
      <c r="F5" t="s">
        <v>22</v>
      </c>
      <c r="G5" t="s">
        <v>23</v>
      </c>
      <c r="H5" t="s">
        <v>24</v>
      </c>
      <c r="J5" s="13"/>
    </row>
    <row r="6" spans="1:10">
      <c r="A6" s="2"/>
      <c r="B6" s="2" t="s">
        <v>25</v>
      </c>
      <c r="C6" t="s">
        <v>26</v>
      </c>
      <c r="D6" t="s">
        <v>27</v>
      </c>
      <c r="J6" s="13"/>
    </row>
    <row r="7" spans="1:10">
      <c r="A7" s="2"/>
      <c r="B7" s="2"/>
      <c r="J7" s="13"/>
    </row>
    <row r="8" spans="1:10">
      <c r="A8" s="2" t="s">
        <v>28</v>
      </c>
      <c r="B8" s="2" t="s">
        <v>1</v>
      </c>
      <c r="C8" s="2" t="s">
        <v>2</v>
      </c>
      <c r="D8" s="2"/>
      <c r="E8" s="2"/>
      <c r="F8" s="2"/>
      <c r="G8" s="2"/>
      <c r="H8" s="2"/>
      <c r="J8" s="13"/>
    </row>
    <row r="9" spans="1:10">
      <c r="A9" s="2" t="s">
        <v>29</v>
      </c>
      <c r="B9" s="2" t="s">
        <v>4</v>
      </c>
      <c r="C9" t="s">
        <v>30</v>
      </c>
      <c r="D9" t="s">
        <v>31</v>
      </c>
      <c r="E9" t="s">
        <v>32</v>
      </c>
      <c r="F9" t="s">
        <v>33</v>
      </c>
      <c r="G9" t="s">
        <v>34</v>
      </c>
      <c r="J9" s="13"/>
    </row>
    <row r="10" spans="1:15">
      <c r="A10" s="2"/>
      <c r="B10" s="2" t="s">
        <v>11</v>
      </c>
      <c r="C10" t="s">
        <v>35</v>
      </c>
      <c r="D10" t="s">
        <v>36</v>
      </c>
      <c r="E10" t="s">
        <v>37</v>
      </c>
      <c r="F10" t="s">
        <v>38</v>
      </c>
      <c r="J10" s="13"/>
      <c r="O10" s="17"/>
    </row>
    <row r="11" spans="1:15">
      <c r="A11" s="2"/>
      <c r="B11" s="2" t="s">
        <v>18</v>
      </c>
      <c r="C11" t="s">
        <v>39</v>
      </c>
      <c r="D11" t="s">
        <v>40</v>
      </c>
      <c r="E11" t="s">
        <v>41</v>
      </c>
      <c r="F11" t="s">
        <v>42</v>
      </c>
      <c r="J11" s="13"/>
      <c r="O11" s="17"/>
    </row>
    <row r="12" spans="1:15">
      <c r="A12" s="2"/>
      <c r="B12" s="2" t="s">
        <v>25</v>
      </c>
      <c r="C12" t="s">
        <v>43</v>
      </c>
      <c r="J12" s="13"/>
      <c r="O12" s="17"/>
    </row>
    <row r="13" spans="1:15">
      <c r="A13" s="2"/>
      <c r="B13" s="2"/>
      <c r="J13" s="13"/>
      <c r="O13" s="17"/>
    </row>
    <row r="14" spans="1:15">
      <c r="A14" s="2"/>
      <c r="B14" s="2"/>
      <c r="J14" s="13"/>
      <c r="O14" s="17"/>
    </row>
    <row r="15" spans="1:15">
      <c r="A15" s="2" t="s">
        <v>44</v>
      </c>
      <c r="B15" s="2" t="s">
        <v>1</v>
      </c>
      <c r="C15" s="2" t="s">
        <v>2</v>
      </c>
      <c r="D15" s="2"/>
      <c r="E15" s="2"/>
      <c r="F15" s="2"/>
      <c r="G15" s="2"/>
      <c r="H15" s="2"/>
      <c r="J15" s="13"/>
      <c r="K15" t="s">
        <v>45</v>
      </c>
      <c r="L15" t="s">
        <v>46</v>
      </c>
      <c r="M15" t="s">
        <v>47</v>
      </c>
      <c r="O15" s="17"/>
    </row>
    <row r="16" spans="1:10">
      <c r="A16" s="2" t="s">
        <v>48</v>
      </c>
      <c r="B16" s="2" t="s">
        <v>4</v>
      </c>
      <c r="C16" t="s">
        <v>49</v>
      </c>
      <c r="D16" t="s">
        <v>50</v>
      </c>
      <c r="E16" t="s">
        <v>51</v>
      </c>
      <c r="F16" t="s">
        <v>52</v>
      </c>
      <c r="G16" t="s">
        <v>53</v>
      </c>
      <c r="J16" s="13"/>
    </row>
    <row r="17" spans="1:13">
      <c r="A17" s="2"/>
      <c r="B17" s="2" t="s">
        <v>18</v>
      </c>
      <c r="C17" t="s">
        <v>54</v>
      </c>
      <c r="J17" s="13"/>
      <c r="K17" t="s">
        <v>55</v>
      </c>
      <c r="L17" s="18" t="s">
        <v>56</v>
      </c>
      <c r="M17" s="18" t="s">
        <v>57</v>
      </c>
    </row>
    <row r="18" spans="1:10">
      <c r="A18" s="2"/>
      <c r="B18" s="2" t="s">
        <v>25</v>
      </c>
      <c r="C18" t="s">
        <v>58</v>
      </c>
      <c r="J18" s="13"/>
    </row>
    <row r="19" spans="1:10">
      <c r="A19" s="2"/>
      <c r="B19" s="2"/>
      <c r="J19" s="13"/>
    </row>
    <row r="20" spans="1:10">
      <c r="A20" s="2" t="s">
        <v>59</v>
      </c>
      <c r="B20" s="2" t="s">
        <v>1</v>
      </c>
      <c r="C20" s="2" t="s">
        <v>2</v>
      </c>
      <c r="D20" s="2"/>
      <c r="E20" s="2"/>
      <c r="F20" s="2"/>
      <c r="G20" s="2"/>
      <c r="H20" s="2"/>
      <c r="J20" s="13"/>
    </row>
    <row r="21" spans="1:10">
      <c r="A21" s="2" t="s">
        <v>60</v>
      </c>
      <c r="B21" s="2" t="s">
        <v>4</v>
      </c>
      <c r="C21" t="s">
        <v>61</v>
      </c>
      <c r="D21" t="s">
        <v>62</v>
      </c>
      <c r="E21" t="s">
        <v>63</v>
      </c>
      <c r="F21" t="s">
        <v>64</v>
      </c>
      <c r="J21" s="13"/>
    </row>
    <row r="22" spans="1:10">
      <c r="A22" s="2"/>
      <c r="B22" s="2"/>
      <c r="C22" t="s">
        <v>65</v>
      </c>
      <c r="D22" t="s">
        <v>66</v>
      </c>
      <c r="E22" t="s">
        <v>67</v>
      </c>
      <c r="F22" t="s">
        <v>68</v>
      </c>
      <c r="G22" t="s">
        <v>69</v>
      </c>
      <c r="J22" s="13"/>
    </row>
    <row r="23" spans="1:10">
      <c r="A23" s="2"/>
      <c r="B23" s="2"/>
      <c r="J23" s="13"/>
    </row>
    <row r="24" spans="1:10">
      <c r="A24" s="2" t="s">
        <v>70</v>
      </c>
      <c r="B24" s="2" t="s">
        <v>1</v>
      </c>
      <c r="C24" s="2" t="s">
        <v>2</v>
      </c>
      <c r="D24" s="2"/>
      <c r="E24" s="2"/>
      <c r="F24" s="2"/>
      <c r="G24" s="2"/>
      <c r="H24" s="2"/>
      <c r="J24" s="13"/>
    </row>
    <row r="25" spans="1:10">
      <c r="A25" s="2" t="s">
        <v>71</v>
      </c>
      <c r="B25" s="2" t="s">
        <v>4</v>
      </c>
      <c r="C25" t="s">
        <v>72</v>
      </c>
      <c r="D25" t="s">
        <v>73</v>
      </c>
      <c r="J25" s="13"/>
    </row>
    <row r="26" spans="1:10">
      <c r="A26" s="2"/>
      <c r="B26" s="2"/>
      <c r="J26" s="13"/>
    </row>
    <row r="27" spans="1:10">
      <c r="A27" s="2" t="s">
        <v>74</v>
      </c>
      <c r="B27" s="2" t="s">
        <v>1</v>
      </c>
      <c r="C27" t="s">
        <v>2</v>
      </c>
      <c r="J27" s="13"/>
    </row>
    <row r="28" spans="1:10">
      <c r="A28" s="2" t="s">
        <v>75</v>
      </c>
      <c r="B28" s="2" t="s">
        <v>4</v>
      </c>
      <c r="C28" t="s">
        <v>76</v>
      </c>
      <c r="D28" t="s">
        <v>77</v>
      </c>
      <c r="E28" t="s">
        <v>78</v>
      </c>
      <c r="F28" t="s">
        <v>79</v>
      </c>
      <c r="J28" s="13"/>
    </row>
    <row r="29" spans="1:10">
      <c r="A29" s="2"/>
      <c r="B29" s="2" t="s">
        <v>11</v>
      </c>
      <c r="C29" t="s">
        <v>80</v>
      </c>
      <c r="E29" t="s">
        <v>81</v>
      </c>
      <c r="J29" s="13"/>
    </row>
    <row r="30" spans="1:10">
      <c r="A30" s="2"/>
      <c r="B30" s="2"/>
      <c r="J30" s="13"/>
    </row>
    <row r="31" spans="1:10">
      <c r="A31" s="2" t="s">
        <v>82</v>
      </c>
      <c r="B31" s="2" t="s">
        <v>1</v>
      </c>
      <c r="C31" s="2" t="s">
        <v>2</v>
      </c>
      <c r="D31" s="2"/>
      <c r="E31" s="2"/>
      <c r="F31" s="2"/>
      <c r="G31" s="2"/>
      <c r="H31" s="2"/>
      <c r="J31" s="13"/>
    </row>
    <row r="32" spans="1:10">
      <c r="A32" s="2" t="s">
        <v>83</v>
      </c>
      <c r="B32" s="2" t="s">
        <v>11</v>
      </c>
      <c r="C32" t="s">
        <v>84</v>
      </c>
      <c r="J32" s="13"/>
    </row>
    <row r="33" spans="1:10">
      <c r="A33" s="2"/>
      <c r="B33" s="2"/>
      <c r="J33" s="13"/>
    </row>
    <row r="34" spans="1:10">
      <c r="A34" s="2" t="s">
        <v>85</v>
      </c>
      <c r="B34" s="2" t="s">
        <v>1</v>
      </c>
      <c r="C34" s="2" t="s">
        <v>2</v>
      </c>
      <c r="D34" s="2"/>
      <c r="E34" s="2"/>
      <c r="F34" s="2"/>
      <c r="G34" s="2"/>
      <c r="H34" s="2"/>
      <c r="J34" s="13"/>
    </row>
    <row r="35" spans="1:10">
      <c r="A35" s="2" t="s">
        <v>86</v>
      </c>
      <c r="B35" s="2" t="s">
        <v>4</v>
      </c>
      <c r="C35" t="s">
        <v>45</v>
      </c>
      <c r="D35" t="s">
        <v>46</v>
      </c>
      <c r="E35" t="s">
        <v>87</v>
      </c>
      <c r="F35" t="s">
        <v>88</v>
      </c>
      <c r="J35" s="13"/>
    </row>
    <row r="36" spans="1:10">
      <c r="A36" s="2"/>
      <c r="B36" s="2"/>
      <c r="C36" t="s">
        <v>55</v>
      </c>
      <c r="D36" t="s">
        <v>47</v>
      </c>
      <c r="E36" t="s">
        <v>56</v>
      </c>
      <c r="F36" t="s">
        <v>89</v>
      </c>
      <c r="J36" s="13"/>
    </row>
    <row r="37" spans="1:10">
      <c r="A37" s="2"/>
      <c r="B37" s="2"/>
      <c r="C37" t="s">
        <v>57</v>
      </c>
      <c r="D37" t="s">
        <v>90</v>
      </c>
      <c r="J37" s="13"/>
    </row>
    <row r="38" spans="1:23">
      <c r="A38" s="2"/>
      <c r="B38" s="2"/>
      <c r="J38" s="13"/>
      <c r="N38" s="13"/>
      <c r="W38" s="13"/>
    </row>
    <row r="39" spans="10:23">
      <c r="J39" s="13"/>
      <c r="N39" s="13"/>
      <c r="W39" s="13"/>
    </row>
    <row r="40" spans="1:23">
      <c r="A40" t="s">
        <v>2</v>
      </c>
      <c r="B40" t="s">
        <v>91</v>
      </c>
      <c r="C40" t="s">
        <v>92</v>
      </c>
      <c r="D40" t="s">
        <v>93</v>
      </c>
      <c r="E40" t="s">
        <v>94</v>
      </c>
      <c r="F40" t="s">
        <v>95</v>
      </c>
      <c r="G40" t="s">
        <v>96</v>
      </c>
      <c r="L40" s="13"/>
      <c r="O40" s="13"/>
      <c r="W40" s="13"/>
    </row>
    <row r="41" spans="1:23">
      <c r="A41" t="s">
        <v>5</v>
      </c>
      <c r="B41" t="s">
        <v>97</v>
      </c>
      <c r="C41" t="s">
        <v>98</v>
      </c>
      <c r="D41">
        <v>0.17</v>
      </c>
      <c r="L41" s="13"/>
      <c r="O41" s="13"/>
      <c r="W41" s="13"/>
    </row>
    <row r="42" spans="1:23">
      <c r="A42" t="s">
        <v>6</v>
      </c>
      <c r="B42" t="s">
        <v>97</v>
      </c>
      <c r="C42" t="s">
        <v>99</v>
      </c>
      <c r="D42">
        <v>1</v>
      </c>
      <c r="L42" s="13"/>
      <c r="O42" s="13"/>
      <c r="W42" s="13"/>
    </row>
    <row r="43" spans="1:23">
      <c r="A43" t="s">
        <v>7</v>
      </c>
      <c r="B43" t="s">
        <v>97</v>
      </c>
      <c r="C43" t="s">
        <v>100</v>
      </c>
      <c r="D43">
        <v>1</v>
      </c>
      <c r="L43" s="13"/>
      <c r="O43" s="13"/>
      <c r="W43" s="13"/>
    </row>
    <row r="44" spans="1:23">
      <c r="A44" t="s">
        <v>8</v>
      </c>
      <c r="B44" t="s">
        <v>97</v>
      </c>
      <c r="C44" t="s">
        <v>101</v>
      </c>
      <c r="D44">
        <v>1</v>
      </c>
      <c r="L44" s="13"/>
      <c r="O44" s="13"/>
      <c r="W44" s="13"/>
    </row>
    <row r="45" spans="1:23">
      <c r="A45" t="s">
        <v>9</v>
      </c>
      <c r="B45" t="s">
        <v>97</v>
      </c>
      <c r="C45" t="s">
        <v>102</v>
      </c>
      <c r="D45">
        <v>1</v>
      </c>
      <c r="L45" s="13"/>
      <c r="O45" s="13"/>
      <c r="W45" s="13"/>
    </row>
    <row r="46" spans="1:23">
      <c r="A46" t="s">
        <v>10</v>
      </c>
      <c r="B46" t="s">
        <v>97</v>
      </c>
      <c r="C46" t="s">
        <v>103</v>
      </c>
      <c r="D46">
        <v>1</v>
      </c>
      <c r="O46" s="13"/>
      <c r="W46" s="13"/>
    </row>
    <row r="47" spans="1:23">
      <c r="A47" t="s">
        <v>12</v>
      </c>
      <c r="B47" t="s">
        <v>104</v>
      </c>
      <c r="C47" t="s">
        <v>105</v>
      </c>
      <c r="D47">
        <v>1.5</v>
      </c>
      <c r="E47" s="12">
        <v>1</v>
      </c>
      <c r="L47" t="s">
        <v>106</v>
      </c>
      <c r="O47" s="13"/>
      <c r="W47" s="13"/>
    </row>
    <row r="48" spans="1:23">
      <c r="A48" t="s">
        <v>13</v>
      </c>
      <c r="B48" t="s">
        <v>104</v>
      </c>
      <c r="C48" t="s">
        <v>107</v>
      </c>
      <c r="D48">
        <v>3</v>
      </c>
      <c r="E48" s="12">
        <v>1</v>
      </c>
      <c r="L48" t="s">
        <v>106</v>
      </c>
      <c r="O48" s="13"/>
      <c r="W48" s="13"/>
    </row>
    <row r="49" spans="1:23">
      <c r="A49" t="s">
        <v>14</v>
      </c>
      <c r="B49" t="s">
        <v>104</v>
      </c>
      <c r="C49" t="s">
        <v>108</v>
      </c>
      <c r="D49">
        <v>3</v>
      </c>
      <c r="E49" s="12">
        <v>1</v>
      </c>
      <c r="L49" t="s">
        <v>106</v>
      </c>
      <c r="O49" s="13"/>
      <c r="W49" s="13"/>
    </row>
    <row r="50" spans="1:23">
      <c r="A50" t="s">
        <v>15</v>
      </c>
      <c r="B50" t="s">
        <v>104</v>
      </c>
      <c r="C50" t="s">
        <v>109</v>
      </c>
      <c r="D50">
        <v>3</v>
      </c>
      <c r="E50" s="12">
        <v>1</v>
      </c>
      <c r="L50" t="s">
        <v>106</v>
      </c>
      <c r="O50" s="13"/>
      <c r="W50" s="13"/>
    </row>
    <row r="51" spans="1:23">
      <c r="A51" t="s">
        <v>16</v>
      </c>
      <c r="B51" t="s">
        <v>104</v>
      </c>
      <c r="C51" t="s">
        <v>110</v>
      </c>
      <c r="D51">
        <v>3</v>
      </c>
      <c r="E51" s="12">
        <v>1</v>
      </c>
      <c r="L51" t="s">
        <v>106</v>
      </c>
      <c r="O51" s="13"/>
      <c r="W51" s="13"/>
    </row>
    <row r="52" spans="1:23">
      <c r="A52" t="s">
        <v>17</v>
      </c>
      <c r="B52" t="s">
        <v>104</v>
      </c>
      <c r="C52" t="s">
        <v>111</v>
      </c>
      <c r="D52">
        <v>3</v>
      </c>
      <c r="E52" s="12">
        <v>1</v>
      </c>
      <c r="L52" t="s">
        <v>106</v>
      </c>
      <c r="O52" s="13"/>
      <c r="W52" s="13"/>
    </row>
    <row r="53" spans="1:23">
      <c r="A53" t="s">
        <v>19</v>
      </c>
      <c r="B53" t="s">
        <v>104</v>
      </c>
      <c r="C53" t="s">
        <v>112</v>
      </c>
      <c r="D53">
        <v>2.25</v>
      </c>
      <c r="E53" s="12">
        <v>0.6</v>
      </c>
      <c r="L53" t="s">
        <v>113</v>
      </c>
      <c r="O53" s="13"/>
      <c r="W53" s="13"/>
    </row>
    <row r="54" spans="1:23">
      <c r="A54" t="s">
        <v>20</v>
      </c>
      <c r="B54" t="s">
        <v>104</v>
      </c>
      <c r="C54" t="s">
        <v>114</v>
      </c>
      <c r="D54">
        <v>4.5</v>
      </c>
      <c r="E54" s="12">
        <v>0.6</v>
      </c>
      <c r="L54" t="s">
        <v>113</v>
      </c>
      <c r="O54" s="13"/>
      <c r="W54" s="13"/>
    </row>
    <row r="55" spans="1:23">
      <c r="A55" t="s">
        <v>21</v>
      </c>
      <c r="B55" t="s">
        <v>104</v>
      </c>
      <c r="C55" t="s">
        <v>115</v>
      </c>
      <c r="D55">
        <v>4.5</v>
      </c>
      <c r="E55" s="12">
        <v>0.6</v>
      </c>
      <c r="L55" t="s">
        <v>113</v>
      </c>
      <c r="O55" s="13"/>
      <c r="W55" s="13"/>
    </row>
    <row r="56" spans="1:23">
      <c r="A56" t="s">
        <v>22</v>
      </c>
      <c r="B56" t="s">
        <v>104</v>
      </c>
      <c r="C56" t="s">
        <v>116</v>
      </c>
      <c r="D56">
        <v>4.5</v>
      </c>
      <c r="E56" s="12">
        <v>0.6</v>
      </c>
      <c r="L56" t="s">
        <v>113</v>
      </c>
      <c r="O56" s="13"/>
      <c r="W56" s="13"/>
    </row>
    <row r="57" spans="1:23">
      <c r="A57" t="s">
        <v>23</v>
      </c>
      <c r="B57" t="s">
        <v>104</v>
      </c>
      <c r="C57" t="s">
        <v>117</v>
      </c>
      <c r="D57">
        <v>4.5</v>
      </c>
      <c r="E57" s="12">
        <v>0.6</v>
      </c>
      <c r="L57" t="s">
        <v>113</v>
      </c>
      <c r="O57" s="13"/>
      <c r="W57" s="13"/>
    </row>
    <row r="58" spans="1:23">
      <c r="A58" t="s">
        <v>24</v>
      </c>
      <c r="B58" t="s">
        <v>104</v>
      </c>
      <c r="C58" t="s">
        <v>118</v>
      </c>
      <c r="D58">
        <v>4.5</v>
      </c>
      <c r="E58" s="12">
        <v>0.6</v>
      </c>
      <c r="L58" t="s">
        <v>113</v>
      </c>
      <c r="O58" s="13"/>
      <c r="W58" s="13"/>
    </row>
    <row r="59" spans="1:15">
      <c r="A59" t="s">
        <v>26</v>
      </c>
      <c r="B59" t="s">
        <v>104</v>
      </c>
      <c r="C59" t="s">
        <v>119</v>
      </c>
      <c r="D59">
        <v>6</v>
      </c>
      <c r="E59" s="12">
        <v>0.6</v>
      </c>
      <c r="L59" t="s">
        <v>120</v>
      </c>
      <c r="O59" s="13"/>
    </row>
    <row r="60" spans="1:23">
      <c r="A60" t="s">
        <v>27</v>
      </c>
      <c r="B60" t="s">
        <v>104</v>
      </c>
      <c r="C60" t="s">
        <v>121</v>
      </c>
      <c r="D60">
        <v>6</v>
      </c>
      <c r="E60" s="12">
        <v>0.6</v>
      </c>
      <c r="L60" t="s">
        <v>120</v>
      </c>
      <c r="O60" s="13"/>
      <c r="W60" s="13"/>
    </row>
    <row r="61" spans="1:23">
      <c r="A61" t="s">
        <v>30</v>
      </c>
      <c r="B61" t="s">
        <v>104</v>
      </c>
      <c r="C61" t="s">
        <v>122</v>
      </c>
      <c r="D61">
        <v>2</v>
      </c>
      <c r="E61" s="12">
        <v>1</v>
      </c>
      <c r="F61" t="s">
        <v>123</v>
      </c>
      <c r="G61" t="s">
        <v>124</v>
      </c>
      <c r="H61" t="s">
        <v>125</v>
      </c>
      <c r="I61" t="s">
        <v>126</v>
      </c>
      <c r="L61" s="13" t="s">
        <v>127</v>
      </c>
      <c r="M61" t="s">
        <v>128</v>
      </c>
      <c r="O61" s="13"/>
      <c r="W61" s="13"/>
    </row>
    <row r="62" spans="1:23">
      <c r="A62" t="s">
        <v>31</v>
      </c>
      <c r="B62" t="s">
        <v>104</v>
      </c>
      <c r="C62" t="s">
        <v>129</v>
      </c>
      <c r="D62">
        <v>1</v>
      </c>
      <c r="E62" s="12">
        <v>3</v>
      </c>
      <c r="F62" t="s">
        <v>123</v>
      </c>
      <c r="G62" t="s">
        <v>124</v>
      </c>
      <c r="H62" t="s">
        <v>125</v>
      </c>
      <c r="J62" t="s">
        <v>130</v>
      </c>
      <c r="L62" s="13"/>
      <c r="O62" s="13"/>
      <c r="W62" s="13"/>
    </row>
    <row r="63" spans="1:23">
      <c r="A63" t="s">
        <v>32</v>
      </c>
      <c r="B63" t="s">
        <v>104</v>
      </c>
      <c r="C63" t="s">
        <v>131</v>
      </c>
      <c r="D63">
        <v>1.5</v>
      </c>
      <c r="E63" s="12">
        <v>1.2</v>
      </c>
      <c r="F63" t="s">
        <v>123</v>
      </c>
      <c r="L63" s="13"/>
      <c r="O63" s="13"/>
      <c r="W63" s="13"/>
    </row>
    <row r="64" spans="1:23">
      <c r="A64" t="s">
        <v>33</v>
      </c>
      <c r="B64" t="s">
        <v>104</v>
      </c>
      <c r="C64" t="s">
        <v>132</v>
      </c>
      <c r="D64">
        <v>1.2</v>
      </c>
      <c r="E64" s="12">
        <v>0.8</v>
      </c>
      <c r="L64" s="13"/>
      <c r="O64" s="13"/>
      <c r="W64" s="13"/>
    </row>
    <row r="65" spans="1:23">
      <c r="A65" t="s">
        <v>35</v>
      </c>
      <c r="B65" t="s">
        <v>104</v>
      </c>
      <c r="C65" t="s">
        <v>133</v>
      </c>
      <c r="D65">
        <v>4</v>
      </c>
      <c r="E65" s="12">
        <v>1.5</v>
      </c>
      <c r="L65" s="13"/>
      <c r="O65" s="13"/>
      <c r="P65" s="13"/>
      <c r="Q65" s="13"/>
      <c r="R65" s="13"/>
      <c r="S65" s="13"/>
      <c r="T65" s="13"/>
      <c r="U65" s="13"/>
      <c r="V65" s="13"/>
      <c r="W65" s="13"/>
    </row>
    <row r="66" spans="1:23">
      <c r="A66" t="s">
        <v>36</v>
      </c>
      <c r="B66" t="s">
        <v>104</v>
      </c>
      <c r="C66" t="s">
        <v>134</v>
      </c>
      <c r="D66">
        <v>2</v>
      </c>
      <c r="E66" s="12">
        <v>1</v>
      </c>
      <c r="J66" t="s">
        <v>135</v>
      </c>
      <c r="L66" s="13"/>
      <c r="O66" s="13"/>
      <c r="P66" s="13"/>
      <c r="Q66" s="13"/>
      <c r="R66" s="13"/>
      <c r="S66" s="13"/>
      <c r="T66" s="13"/>
      <c r="U66" s="13"/>
      <c r="V66" s="13"/>
      <c r="W66" s="13"/>
    </row>
    <row r="67" spans="1:23">
      <c r="A67" t="s">
        <v>37</v>
      </c>
      <c r="B67" t="s">
        <v>104</v>
      </c>
      <c r="C67" t="s">
        <v>136</v>
      </c>
      <c r="D67">
        <v>2.5</v>
      </c>
      <c r="E67" s="12">
        <v>0.5</v>
      </c>
      <c r="L67" s="13"/>
      <c r="O67" s="13"/>
      <c r="P67" s="13"/>
      <c r="Q67" s="13"/>
      <c r="R67" s="13"/>
      <c r="S67" s="13"/>
      <c r="T67" s="13"/>
      <c r="U67" s="13"/>
      <c r="V67" s="13"/>
      <c r="W67" s="13"/>
    </row>
    <row r="68" spans="1:23">
      <c r="A68" t="s">
        <v>38</v>
      </c>
      <c r="B68" t="s">
        <v>104</v>
      </c>
      <c r="C68" t="s">
        <v>137</v>
      </c>
      <c r="D68">
        <v>1.2</v>
      </c>
      <c r="E68" s="12">
        <v>1.5</v>
      </c>
      <c r="J68" t="s">
        <v>130</v>
      </c>
      <c r="L68" s="13"/>
      <c r="O68" s="13"/>
      <c r="P68" s="13"/>
      <c r="Q68" s="13"/>
      <c r="R68" s="13"/>
      <c r="S68" s="13"/>
      <c r="T68" s="13"/>
      <c r="U68" s="13"/>
      <c r="V68" s="13"/>
      <c r="W68" s="13"/>
    </row>
    <row r="69" spans="1:23">
      <c r="A69" t="s">
        <v>39</v>
      </c>
      <c r="B69" t="s">
        <v>104</v>
      </c>
      <c r="C69" t="s">
        <v>138</v>
      </c>
      <c r="D69">
        <v>6</v>
      </c>
      <c r="E69" s="12">
        <v>1.5</v>
      </c>
      <c r="L69" s="13"/>
      <c r="O69" s="13"/>
      <c r="P69" s="13"/>
      <c r="Q69" s="13"/>
      <c r="R69" s="13"/>
      <c r="S69" s="13"/>
      <c r="T69" s="13"/>
      <c r="U69" s="13"/>
      <c r="V69" s="13"/>
      <c r="W69" s="13"/>
    </row>
    <row r="70" spans="1:23">
      <c r="A70" t="s">
        <v>40</v>
      </c>
      <c r="B70" t="s">
        <v>104</v>
      </c>
      <c r="C70" t="s">
        <v>139</v>
      </c>
      <c r="D70">
        <v>1.8</v>
      </c>
      <c r="E70" s="12">
        <v>1.5</v>
      </c>
      <c r="J70" t="s">
        <v>130</v>
      </c>
      <c r="L70" s="13"/>
      <c r="P70" s="13"/>
      <c r="Q70" s="13"/>
      <c r="R70" s="13"/>
      <c r="S70" s="13"/>
      <c r="T70" s="13"/>
      <c r="U70" s="13"/>
      <c r="V70" s="13"/>
      <c r="W70" s="13"/>
    </row>
    <row r="71" spans="1:23">
      <c r="A71" t="s">
        <v>41</v>
      </c>
      <c r="B71" t="s">
        <v>104</v>
      </c>
      <c r="C71" t="s">
        <v>140</v>
      </c>
      <c r="D71">
        <v>2</v>
      </c>
      <c r="E71" s="12">
        <v>1.5</v>
      </c>
      <c r="P71" s="13"/>
      <c r="Q71" s="13"/>
      <c r="R71" s="13"/>
      <c r="S71" s="13"/>
      <c r="T71" s="13"/>
      <c r="U71" s="13"/>
      <c r="V71" s="13"/>
      <c r="W71" s="13"/>
    </row>
    <row r="72" spans="1:23">
      <c r="A72" t="s">
        <v>42</v>
      </c>
      <c r="B72" t="s">
        <v>104</v>
      </c>
      <c r="C72" t="s">
        <v>141</v>
      </c>
      <c r="D72">
        <v>1</v>
      </c>
      <c r="E72" s="12">
        <v>1.5</v>
      </c>
      <c r="P72" s="13"/>
      <c r="Q72" s="13"/>
      <c r="R72" s="13"/>
      <c r="S72" s="13"/>
      <c r="T72" s="13"/>
      <c r="U72" s="13"/>
      <c r="V72" s="13"/>
      <c r="W72" s="13"/>
    </row>
    <row r="73" spans="1:5">
      <c r="A73" t="s">
        <v>43</v>
      </c>
      <c r="B73" t="s">
        <v>104</v>
      </c>
      <c r="C73" t="s">
        <v>142</v>
      </c>
      <c r="D73">
        <v>10</v>
      </c>
      <c r="E73" s="12">
        <v>1.5</v>
      </c>
    </row>
    <row r="74" spans="1:4">
      <c r="A74" t="s">
        <v>49</v>
      </c>
      <c r="B74" t="s">
        <v>97</v>
      </c>
      <c r="C74" t="s">
        <v>143</v>
      </c>
      <c r="D74">
        <v>0.2</v>
      </c>
    </row>
    <row r="75" spans="1:5">
      <c r="A75" t="s">
        <v>50</v>
      </c>
      <c r="B75" t="s">
        <v>104</v>
      </c>
      <c r="C75" t="s">
        <v>144</v>
      </c>
      <c r="D75">
        <v>4</v>
      </c>
      <c r="E75" s="12">
        <v>0.8</v>
      </c>
    </row>
    <row r="76" spans="1:5">
      <c r="A76" t="s">
        <v>51</v>
      </c>
      <c r="B76" t="s">
        <v>104</v>
      </c>
      <c r="C76" t="s">
        <v>145</v>
      </c>
      <c r="D76">
        <v>1.5</v>
      </c>
      <c r="E76" s="12">
        <v>0.7</v>
      </c>
    </row>
    <row r="77" spans="1:21">
      <c r="A77" t="s">
        <v>52</v>
      </c>
      <c r="B77" t="s">
        <v>104</v>
      </c>
      <c r="C77" t="s">
        <v>146</v>
      </c>
      <c r="D77">
        <v>3</v>
      </c>
      <c r="E77" s="12">
        <v>0.2</v>
      </c>
      <c r="P77" s="2" t="s">
        <v>147</v>
      </c>
      <c r="Q77" s="2"/>
      <c r="R77" s="2"/>
      <c r="S77" s="2"/>
      <c r="T77" s="2"/>
      <c r="U77" s="2"/>
    </row>
    <row r="78" spans="1:20">
      <c r="A78" t="s">
        <v>53</v>
      </c>
      <c r="B78" t="s">
        <v>97</v>
      </c>
      <c r="C78" t="s">
        <v>148</v>
      </c>
      <c r="D78">
        <v>0.3</v>
      </c>
      <c r="E78">
        <v>500</v>
      </c>
      <c r="P78" s="19" t="s">
        <v>2</v>
      </c>
      <c r="Q78" s="19" t="s">
        <v>149</v>
      </c>
      <c r="R78" s="19" t="s">
        <v>150</v>
      </c>
      <c r="S78" s="19" t="s">
        <v>151</v>
      </c>
      <c r="T78" s="19"/>
    </row>
    <row r="79" spans="1:19">
      <c r="A79" t="s">
        <v>54</v>
      </c>
      <c r="B79" t="s">
        <v>104</v>
      </c>
      <c r="C79" t="s">
        <v>152</v>
      </c>
      <c r="D79">
        <v>2</v>
      </c>
      <c r="E79" s="12">
        <v>0.8</v>
      </c>
      <c r="P79" t="s">
        <v>30</v>
      </c>
      <c r="Q79" t="s">
        <v>153</v>
      </c>
      <c r="R79" t="s">
        <v>154</v>
      </c>
      <c r="S79" t="s">
        <v>155</v>
      </c>
    </row>
    <row r="80" spans="1:19">
      <c r="A80" t="s">
        <v>58</v>
      </c>
      <c r="B80" t="s">
        <v>104</v>
      </c>
      <c r="C80" t="s">
        <v>156</v>
      </c>
      <c r="D80">
        <v>8</v>
      </c>
      <c r="E80" s="12">
        <v>0.4</v>
      </c>
      <c r="F80" t="s">
        <v>157</v>
      </c>
      <c r="H80" t="s">
        <v>158</v>
      </c>
      <c r="I80" t="s">
        <v>159</v>
      </c>
      <c r="J80" t="s">
        <v>160</v>
      </c>
      <c r="P80" t="s">
        <v>31</v>
      </c>
      <c r="Q80" t="s">
        <v>153</v>
      </c>
      <c r="R80" t="s">
        <v>161</v>
      </c>
      <c r="S80" t="s">
        <v>162</v>
      </c>
    </row>
    <row r="81" spans="1:19">
      <c r="A81" t="s">
        <v>61</v>
      </c>
      <c r="B81" t="s">
        <v>104</v>
      </c>
      <c r="C81" t="s">
        <v>163</v>
      </c>
      <c r="D81">
        <v>3</v>
      </c>
      <c r="E81" s="12">
        <v>0.8</v>
      </c>
      <c r="F81" t="s">
        <v>164</v>
      </c>
      <c r="G81" t="s">
        <v>165</v>
      </c>
      <c r="H81" t="s">
        <v>166</v>
      </c>
      <c r="I81" t="s">
        <v>167</v>
      </c>
      <c r="P81" t="s">
        <v>168</v>
      </c>
      <c r="Q81" t="s">
        <v>169</v>
      </c>
      <c r="R81" t="s">
        <v>170</v>
      </c>
      <c r="S81" t="s">
        <v>171</v>
      </c>
    </row>
    <row r="82" spans="1:19">
      <c r="A82" t="s">
        <v>62</v>
      </c>
      <c r="B82" t="s">
        <v>104</v>
      </c>
      <c r="C82" t="s">
        <v>172</v>
      </c>
      <c r="D82">
        <v>3</v>
      </c>
      <c r="E82" s="12">
        <v>0.8</v>
      </c>
      <c r="F82" t="s">
        <v>173</v>
      </c>
      <c r="G82" t="s">
        <v>174</v>
      </c>
      <c r="H82" t="s">
        <v>175</v>
      </c>
      <c r="I82" t="s">
        <v>176</v>
      </c>
      <c r="P82" t="s">
        <v>32</v>
      </c>
      <c r="Q82" t="s">
        <v>177</v>
      </c>
      <c r="R82" t="s">
        <v>178</v>
      </c>
      <c r="S82" t="s">
        <v>179</v>
      </c>
    </row>
    <row r="83" spans="1:19">
      <c r="A83" t="s">
        <v>63</v>
      </c>
      <c r="B83" t="s">
        <v>104</v>
      </c>
      <c r="C83" t="s">
        <v>180</v>
      </c>
      <c r="D83">
        <v>1.5</v>
      </c>
      <c r="E83" s="12">
        <v>0.7</v>
      </c>
      <c r="F83" t="s">
        <v>173</v>
      </c>
      <c r="G83" t="s">
        <v>174</v>
      </c>
      <c r="H83" t="s">
        <v>175</v>
      </c>
      <c r="I83" t="s">
        <v>181</v>
      </c>
      <c r="P83" t="s">
        <v>182</v>
      </c>
      <c r="Q83" t="s">
        <v>183</v>
      </c>
      <c r="R83" t="s">
        <v>184</v>
      </c>
      <c r="S83" t="s">
        <v>171</v>
      </c>
    </row>
    <row r="84" spans="1:9">
      <c r="A84" t="s">
        <v>64</v>
      </c>
      <c r="B84" t="s">
        <v>104</v>
      </c>
      <c r="C84" t="s">
        <v>185</v>
      </c>
      <c r="D84">
        <v>0.8</v>
      </c>
      <c r="E84" s="12">
        <v>0.8</v>
      </c>
      <c r="F84" t="s">
        <v>186</v>
      </c>
      <c r="H84" t="s">
        <v>187</v>
      </c>
      <c r="I84" t="s">
        <v>188</v>
      </c>
    </row>
    <row r="85" spans="1:21">
      <c r="A85" t="s">
        <v>65</v>
      </c>
      <c r="B85" t="s">
        <v>104</v>
      </c>
      <c r="C85" t="s">
        <v>189</v>
      </c>
      <c r="D85">
        <v>0.5</v>
      </c>
      <c r="E85" s="12">
        <v>0.6</v>
      </c>
      <c r="F85" t="s">
        <v>173</v>
      </c>
      <c r="G85" t="s">
        <v>174</v>
      </c>
      <c r="H85" t="s">
        <v>175</v>
      </c>
      <c r="I85" t="s">
        <v>181</v>
      </c>
      <c r="P85" s="2" t="s">
        <v>190</v>
      </c>
      <c r="Q85" s="2"/>
      <c r="R85" s="2"/>
      <c r="S85" s="2"/>
      <c r="T85" s="2"/>
      <c r="U85" s="2"/>
    </row>
    <row r="86" spans="1:20">
      <c r="A86" t="s">
        <v>66</v>
      </c>
      <c r="B86" t="s">
        <v>104</v>
      </c>
      <c r="C86" t="s">
        <v>191</v>
      </c>
      <c r="D86">
        <v>1.5</v>
      </c>
      <c r="E86" s="12">
        <v>0.8</v>
      </c>
      <c r="F86" t="s">
        <v>173</v>
      </c>
      <c r="G86" t="s">
        <v>174</v>
      </c>
      <c r="H86" t="s">
        <v>175</v>
      </c>
      <c r="I86" t="s">
        <v>181</v>
      </c>
      <c r="P86" s="19" t="s">
        <v>2</v>
      </c>
      <c r="Q86" s="19" t="s">
        <v>149</v>
      </c>
      <c r="R86" s="19" t="s">
        <v>150</v>
      </c>
      <c r="S86" s="19" t="s">
        <v>151</v>
      </c>
      <c r="T86" s="19"/>
    </row>
    <row r="87" spans="1:19">
      <c r="A87" t="s">
        <v>67</v>
      </c>
      <c r="B87" t="s">
        <v>104</v>
      </c>
      <c r="C87" t="s">
        <v>192</v>
      </c>
      <c r="D87">
        <v>1.5</v>
      </c>
      <c r="E87" s="12">
        <v>0.8</v>
      </c>
      <c r="F87" t="s">
        <v>173</v>
      </c>
      <c r="G87" t="s">
        <v>174</v>
      </c>
      <c r="H87" t="s">
        <v>175</v>
      </c>
      <c r="I87" t="s">
        <v>181</v>
      </c>
      <c r="P87" t="s">
        <v>50</v>
      </c>
      <c r="Q87" t="s">
        <v>193</v>
      </c>
      <c r="R87" t="s">
        <v>194</v>
      </c>
      <c r="S87" t="s">
        <v>195</v>
      </c>
    </row>
    <row r="88" spans="1:19">
      <c r="A88" t="s">
        <v>81</v>
      </c>
      <c r="B88" t="s">
        <v>104</v>
      </c>
      <c r="C88" t="s">
        <v>196</v>
      </c>
      <c r="D88">
        <v>1.5</v>
      </c>
      <c r="E88" s="12">
        <v>0.6</v>
      </c>
      <c r="F88" t="s">
        <v>197</v>
      </c>
      <c r="G88" t="s">
        <v>198</v>
      </c>
      <c r="H88" t="s">
        <v>198</v>
      </c>
      <c r="I88" t="s">
        <v>199</v>
      </c>
      <c r="J88" t="s">
        <v>200</v>
      </c>
      <c r="P88" t="s">
        <v>201</v>
      </c>
      <c r="Q88" t="s">
        <v>193</v>
      </c>
      <c r="R88" t="s">
        <v>202</v>
      </c>
      <c r="S88" t="s">
        <v>203</v>
      </c>
    </row>
    <row r="89" spans="1:19">
      <c r="A89" t="s">
        <v>68</v>
      </c>
      <c r="B89" t="s">
        <v>104</v>
      </c>
      <c r="C89" t="s">
        <v>204</v>
      </c>
      <c r="D89">
        <v>1.2</v>
      </c>
      <c r="E89" s="12">
        <v>0.5</v>
      </c>
      <c r="F89" t="s">
        <v>173</v>
      </c>
      <c r="G89" t="s">
        <v>174</v>
      </c>
      <c r="H89" t="s">
        <v>175</v>
      </c>
      <c r="I89" t="s">
        <v>181</v>
      </c>
      <c r="P89" t="s">
        <v>205</v>
      </c>
      <c r="Q89" t="s">
        <v>206</v>
      </c>
      <c r="R89" t="s">
        <v>207</v>
      </c>
      <c r="S89" t="s">
        <v>208</v>
      </c>
    </row>
    <row r="90" spans="1:19">
      <c r="A90" t="s">
        <v>69</v>
      </c>
      <c r="B90" t="s">
        <v>104</v>
      </c>
      <c r="C90" t="s">
        <v>209</v>
      </c>
      <c r="D90">
        <v>1</v>
      </c>
      <c r="E90" s="12">
        <v>0.5</v>
      </c>
      <c r="F90" t="s">
        <v>173</v>
      </c>
      <c r="G90" t="s">
        <v>174</v>
      </c>
      <c r="H90" t="s">
        <v>175</v>
      </c>
      <c r="I90" t="s">
        <v>181</v>
      </c>
      <c r="P90" t="s">
        <v>51</v>
      </c>
      <c r="Q90" t="s">
        <v>206</v>
      </c>
      <c r="R90" t="s">
        <v>210</v>
      </c>
      <c r="S90" t="s">
        <v>211</v>
      </c>
    </row>
    <row r="91" spans="1:19">
      <c r="A91" t="s">
        <v>212</v>
      </c>
      <c r="B91" t="s">
        <v>104</v>
      </c>
      <c r="C91" t="s">
        <v>213</v>
      </c>
      <c r="D91">
        <v>2</v>
      </c>
      <c r="E91" s="12">
        <v>1</v>
      </c>
      <c r="F91" t="s">
        <v>214</v>
      </c>
      <c r="G91" t="s">
        <v>215</v>
      </c>
      <c r="H91" t="s">
        <v>216</v>
      </c>
      <c r="I91" t="s">
        <v>217</v>
      </c>
      <c r="P91" t="s">
        <v>68</v>
      </c>
      <c r="Q91" t="s">
        <v>218</v>
      </c>
      <c r="R91" t="s">
        <v>219</v>
      </c>
      <c r="S91" t="s">
        <v>220</v>
      </c>
    </row>
    <row r="92" spans="1:9">
      <c r="A92" t="s">
        <v>221</v>
      </c>
      <c r="B92" t="s">
        <v>104</v>
      </c>
      <c r="C92" t="s">
        <v>222</v>
      </c>
      <c r="D92">
        <v>2</v>
      </c>
      <c r="E92" s="12">
        <v>1</v>
      </c>
      <c r="F92" t="s">
        <v>214</v>
      </c>
      <c r="G92" t="s">
        <v>215</v>
      </c>
      <c r="H92" t="s">
        <v>216</v>
      </c>
      <c r="I92" t="s">
        <v>223</v>
      </c>
    </row>
    <row r="93" spans="1:21">
      <c r="A93" t="s">
        <v>224</v>
      </c>
      <c r="B93" t="s">
        <v>104</v>
      </c>
      <c r="C93" t="s">
        <v>225</v>
      </c>
      <c r="D93">
        <v>1.2</v>
      </c>
      <c r="E93" s="12">
        <v>0.5</v>
      </c>
      <c r="F93" t="s">
        <v>164</v>
      </c>
      <c r="G93" t="s">
        <v>226</v>
      </c>
      <c r="H93" t="s">
        <v>227</v>
      </c>
      <c r="I93" t="s">
        <v>228</v>
      </c>
      <c r="J93" t="s">
        <v>229</v>
      </c>
      <c r="P93" s="2" t="s">
        <v>230</v>
      </c>
      <c r="Q93" s="2"/>
      <c r="R93" s="2"/>
      <c r="S93" s="2"/>
      <c r="T93" s="2"/>
      <c r="U93" s="2"/>
    </row>
    <row r="94" spans="1:20">
      <c r="A94" t="s">
        <v>79</v>
      </c>
      <c r="B94" t="s">
        <v>97</v>
      </c>
      <c r="C94" t="s">
        <v>231</v>
      </c>
      <c r="D94">
        <v>0.1</v>
      </c>
      <c r="E94">
        <v>50</v>
      </c>
      <c r="F94" t="s">
        <v>232</v>
      </c>
      <c r="G94" t="s">
        <v>233</v>
      </c>
      <c r="I94" t="s">
        <v>234</v>
      </c>
      <c r="P94" s="19" t="s">
        <v>2</v>
      </c>
      <c r="Q94" s="19" t="s">
        <v>149</v>
      </c>
      <c r="R94" s="19" t="s">
        <v>150</v>
      </c>
      <c r="S94" s="19" t="s">
        <v>151</v>
      </c>
      <c r="T94" s="19"/>
    </row>
    <row r="95" spans="1:19">
      <c r="A95" t="s">
        <v>235</v>
      </c>
      <c r="B95" t="s">
        <v>104</v>
      </c>
      <c r="C95" t="s">
        <v>236</v>
      </c>
      <c r="D95">
        <v>0.5</v>
      </c>
      <c r="E95" s="12">
        <v>1</v>
      </c>
      <c r="F95" t="s">
        <v>237</v>
      </c>
      <c r="G95" t="s">
        <v>238</v>
      </c>
      <c r="H95" t="s">
        <v>239</v>
      </c>
      <c r="I95" t="s">
        <v>240</v>
      </c>
      <c r="J95" t="s">
        <v>241</v>
      </c>
      <c r="P95" t="s">
        <v>61</v>
      </c>
      <c r="Q95" t="s">
        <v>242</v>
      </c>
      <c r="R95" t="s">
        <v>243</v>
      </c>
      <c r="S95" t="s">
        <v>155</v>
      </c>
    </row>
    <row r="96" spans="1:19">
      <c r="A96" t="s">
        <v>244</v>
      </c>
      <c r="B96" t="s">
        <v>104</v>
      </c>
      <c r="C96" t="s">
        <v>245</v>
      </c>
      <c r="D96">
        <v>2.5</v>
      </c>
      <c r="E96" s="12">
        <v>2</v>
      </c>
      <c r="P96" t="s">
        <v>62</v>
      </c>
      <c r="Q96" t="s">
        <v>246</v>
      </c>
      <c r="R96" t="s">
        <v>247</v>
      </c>
      <c r="S96" t="s">
        <v>248</v>
      </c>
    </row>
    <row r="97" spans="1:19">
      <c r="A97" t="s">
        <v>249</v>
      </c>
      <c r="B97" t="s">
        <v>104</v>
      </c>
      <c r="C97" t="s">
        <v>250</v>
      </c>
      <c r="D97">
        <v>3</v>
      </c>
      <c r="E97" s="12">
        <v>0.6</v>
      </c>
      <c r="F97" t="s">
        <v>251</v>
      </c>
      <c r="G97" t="s">
        <v>252</v>
      </c>
      <c r="H97" t="s">
        <v>252</v>
      </c>
      <c r="I97" t="s">
        <v>253</v>
      </c>
      <c r="J97" t="s">
        <v>200</v>
      </c>
      <c r="P97" t="s">
        <v>63</v>
      </c>
      <c r="Q97" t="s">
        <v>193</v>
      </c>
      <c r="R97" t="s">
        <v>202</v>
      </c>
      <c r="S97" t="s">
        <v>220</v>
      </c>
    </row>
    <row r="98" spans="1:19">
      <c r="A98" t="s">
        <v>254</v>
      </c>
      <c r="B98" t="s">
        <v>104</v>
      </c>
      <c r="C98" t="s">
        <v>255</v>
      </c>
      <c r="D98">
        <v>3</v>
      </c>
      <c r="E98" s="12">
        <v>1</v>
      </c>
      <c r="F98" t="s">
        <v>164</v>
      </c>
      <c r="G98" t="s">
        <v>165</v>
      </c>
      <c r="H98" t="s">
        <v>166</v>
      </c>
      <c r="I98" t="s">
        <v>256</v>
      </c>
      <c r="J98" t="s">
        <v>257</v>
      </c>
      <c r="P98" t="s">
        <v>64</v>
      </c>
      <c r="Q98" t="s">
        <v>193</v>
      </c>
      <c r="R98" t="s">
        <v>202</v>
      </c>
      <c r="S98" t="s">
        <v>220</v>
      </c>
    </row>
    <row r="99" spans="1:10">
      <c r="A99" t="s">
        <v>258</v>
      </c>
      <c r="B99" t="s">
        <v>104</v>
      </c>
      <c r="C99" t="s">
        <v>259</v>
      </c>
      <c r="D99">
        <v>1</v>
      </c>
      <c r="E99" s="12">
        <v>1</v>
      </c>
      <c r="F99" t="s">
        <v>260</v>
      </c>
      <c r="G99" t="s">
        <v>261</v>
      </c>
      <c r="H99" t="s">
        <v>262</v>
      </c>
      <c r="I99" t="s">
        <v>241</v>
      </c>
      <c r="J99" t="s">
        <v>263</v>
      </c>
    </row>
    <row r="100" spans="1:21">
      <c r="A100" t="s">
        <v>264</v>
      </c>
      <c r="B100" t="s">
        <v>104</v>
      </c>
      <c r="C100" t="s">
        <v>265</v>
      </c>
      <c r="D100">
        <v>0.5</v>
      </c>
      <c r="E100" s="12">
        <v>0.6</v>
      </c>
      <c r="F100" t="s">
        <v>164</v>
      </c>
      <c r="G100" t="s">
        <v>165</v>
      </c>
      <c r="H100" t="s">
        <v>166</v>
      </c>
      <c r="I100" t="s">
        <v>266</v>
      </c>
      <c r="J100" t="s">
        <v>267</v>
      </c>
      <c r="P100" s="2"/>
      <c r="Q100" s="2"/>
      <c r="R100" s="2"/>
      <c r="S100" s="2"/>
      <c r="T100" s="2"/>
      <c r="U100" s="2"/>
    </row>
    <row r="101" spans="1:20">
      <c r="A101" t="s">
        <v>268</v>
      </c>
      <c r="B101" t="s">
        <v>104</v>
      </c>
      <c r="C101" t="s">
        <v>269</v>
      </c>
      <c r="D101">
        <v>0.6</v>
      </c>
      <c r="E101" s="12">
        <v>2.45</v>
      </c>
      <c r="F101" t="s">
        <v>270</v>
      </c>
      <c r="G101" t="s">
        <v>271</v>
      </c>
      <c r="H101" t="s">
        <v>272</v>
      </c>
      <c r="I101" t="s">
        <v>273</v>
      </c>
      <c r="J101" t="s">
        <v>274</v>
      </c>
      <c r="P101" s="19"/>
      <c r="Q101" s="19"/>
      <c r="R101" s="19"/>
      <c r="S101" s="19"/>
      <c r="T101" s="19"/>
    </row>
    <row r="102" spans="1:10">
      <c r="A102" t="s">
        <v>275</v>
      </c>
      <c r="B102" t="s">
        <v>104</v>
      </c>
      <c r="C102" t="s">
        <v>276</v>
      </c>
      <c r="D102">
        <v>0.4</v>
      </c>
      <c r="E102" s="12">
        <v>0.6</v>
      </c>
      <c r="F102" t="s">
        <v>164</v>
      </c>
      <c r="G102" t="s">
        <v>165</v>
      </c>
      <c r="H102" t="s">
        <v>166</v>
      </c>
      <c r="I102" t="s">
        <v>266</v>
      </c>
      <c r="J102" t="s">
        <v>267</v>
      </c>
    </row>
    <row r="103" spans="1:10">
      <c r="A103" t="s">
        <v>277</v>
      </c>
      <c r="B103" t="s">
        <v>104</v>
      </c>
      <c r="C103" t="s">
        <v>278</v>
      </c>
      <c r="D103">
        <v>0.6</v>
      </c>
      <c r="E103" s="12">
        <v>0.9</v>
      </c>
      <c r="F103" t="s">
        <v>260</v>
      </c>
      <c r="G103" t="s">
        <v>261</v>
      </c>
      <c r="H103" t="s">
        <v>262</v>
      </c>
      <c r="I103" t="s">
        <v>241</v>
      </c>
      <c r="J103" t="s">
        <v>263</v>
      </c>
    </row>
    <row r="104" spans="1:10">
      <c r="A104" t="s">
        <v>279</v>
      </c>
      <c r="B104" t="s">
        <v>104</v>
      </c>
      <c r="C104" t="s">
        <v>280</v>
      </c>
      <c r="D104">
        <v>0.4</v>
      </c>
      <c r="E104" s="12">
        <v>0.7</v>
      </c>
      <c r="F104" t="s">
        <v>164</v>
      </c>
      <c r="G104" t="s">
        <v>165</v>
      </c>
      <c r="H104" t="s">
        <v>166</v>
      </c>
      <c r="I104" t="s">
        <v>266</v>
      </c>
      <c r="J104" t="s">
        <v>267</v>
      </c>
    </row>
    <row r="105" spans="1:21">
      <c r="A105" t="s">
        <v>281</v>
      </c>
      <c r="B105" t="s">
        <v>104</v>
      </c>
      <c r="C105" t="s">
        <v>282</v>
      </c>
      <c r="D105">
        <v>0.8</v>
      </c>
      <c r="E105" s="12">
        <v>1.2</v>
      </c>
      <c r="F105" t="s">
        <v>260</v>
      </c>
      <c r="G105" t="s">
        <v>261</v>
      </c>
      <c r="H105" t="s">
        <v>262</v>
      </c>
      <c r="I105" t="s">
        <v>241</v>
      </c>
      <c r="J105" t="s">
        <v>263</v>
      </c>
      <c r="P105" s="2" t="s">
        <v>283</v>
      </c>
      <c r="Q105" s="2"/>
      <c r="R105" s="2"/>
      <c r="S105" s="2"/>
      <c r="T105" s="2"/>
      <c r="U105" s="2"/>
    </row>
    <row r="106" spans="1:19">
      <c r="A106" t="s">
        <v>284</v>
      </c>
      <c r="B106" t="s">
        <v>104</v>
      </c>
      <c r="C106" t="s">
        <v>285</v>
      </c>
      <c r="D106">
        <v>0.4</v>
      </c>
      <c r="E106" s="12">
        <v>0.7</v>
      </c>
      <c r="F106" t="s">
        <v>164</v>
      </c>
      <c r="G106" t="s">
        <v>165</v>
      </c>
      <c r="H106" t="s">
        <v>166</v>
      </c>
      <c r="I106" t="s">
        <v>266</v>
      </c>
      <c r="J106" t="s">
        <v>267</v>
      </c>
      <c r="P106" s="19" t="s">
        <v>2</v>
      </c>
      <c r="Q106" s="19" t="s">
        <v>149</v>
      </c>
      <c r="R106" s="19" t="s">
        <v>150</v>
      </c>
      <c r="S106" s="19" t="s">
        <v>151</v>
      </c>
    </row>
    <row r="107" spans="16:19">
      <c r="P107" t="s">
        <v>76</v>
      </c>
      <c r="Q107" t="s">
        <v>246</v>
      </c>
      <c r="R107" t="s">
        <v>202</v>
      </c>
      <c r="S107" t="s">
        <v>286</v>
      </c>
    </row>
    <row r="108" spans="16:19">
      <c r="P108" t="s">
        <v>77</v>
      </c>
      <c r="Q108" t="s">
        <v>287</v>
      </c>
      <c r="R108" t="s">
        <v>288</v>
      </c>
      <c r="S108" t="s">
        <v>155</v>
      </c>
    </row>
    <row r="109" spans="16:19">
      <c r="P109" t="s">
        <v>289</v>
      </c>
      <c r="Q109" t="s">
        <v>290</v>
      </c>
      <c r="R109" t="s">
        <v>124</v>
      </c>
      <c r="S109" t="s">
        <v>155</v>
      </c>
    </row>
    <row r="116" spans="1:3">
      <c r="A116" t="s">
        <v>72</v>
      </c>
      <c r="B116" t="s">
        <v>104</v>
      </c>
      <c r="C116" t="s">
        <v>291</v>
      </c>
    </row>
    <row r="117" spans="1:3">
      <c r="A117" t="s">
        <v>73</v>
      </c>
      <c r="B117" t="s">
        <v>104</v>
      </c>
      <c r="C117" t="s">
        <v>292</v>
      </c>
    </row>
  </sheetData>
  <mergeCells count="8">
    <mergeCell ref="P105:U105"/>
    <mergeCell ref="A3:A6"/>
    <mergeCell ref="A9:A12"/>
    <mergeCell ref="A16:A18"/>
    <mergeCell ref="A21:A22"/>
    <mergeCell ref="A25:A26"/>
    <mergeCell ref="A28:A29"/>
    <mergeCell ref="A32:A33"/>
  </mergeCell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9"/>
  <sheetViews>
    <sheetView workbookViewId="0">
      <selection activeCell="H18" sqref="H18"/>
    </sheetView>
  </sheetViews>
  <sheetFormatPr defaultColWidth="9" defaultRowHeight="14.4"/>
  <cols>
    <col min="1" max="7" width="12.6666666666667" customWidth="1"/>
  </cols>
  <sheetData>
    <row r="1" spans="1:19">
      <c r="A1" t="s">
        <v>293</v>
      </c>
      <c r="B1">
        <v>50</v>
      </c>
      <c r="O1" t="s">
        <v>1</v>
      </c>
      <c r="P1" t="s">
        <v>294</v>
      </c>
      <c r="Q1" t="s">
        <v>92</v>
      </c>
      <c r="R1" t="s">
        <v>295</v>
      </c>
      <c r="S1" t="s">
        <v>296</v>
      </c>
    </row>
    <row r="2" spans="1:19">
      <c r="A2" t="s">
        <v>297</v>
      </c>
      <c r="B2" s="2" t="s">
        <v>298</v>
      </c>
      <c r="C2" s="2"/>
      <c r="D2" t="s">
        <v>299</v>
      </c>
      <c r="E2" s="2" t="s">
        <v>300</v>
      </c>
      <c r="F2" s="2"/>
      <c r="G2" t="s">
        <v>299</v>
      </c>
      <c r="O2" t="s">
        <v>301</v>
      </c>
      <c r="P2" t="s">
        <v>302</v>
      </c>
      <c r="Q2" t="s">
        <v>303</v>
      </c>
      <c r="S2" s="21" t="s">
        <v>304</v>
      </c>
    </row>
    <row r="3" spans="1:19">
      <c r="A3">
        <v>12</v>
      </c>
      <c r="B3" t="s">
        <v>5</v>
      </c>
      <c r="C3">
        <v>60</v>
      </c>
      <c r="D3">
        <v>5</v>
      </c>
      <c r="E3" t="s">
        <v>5</v>
      </c>
      <c r="F3">
        <v>24</v>
      </c>
      <c r="G3">
        <v>2</v>
      </c>
      <c r="H3" t="s">
        <v>5</v>
      </c>
      <c r="I3">
        <f>C3+F3*($B$1-1)</f>
        <v>1236</v>
      </c>
      <c r="J3">
        <f>I3/A3</f>
        <v>103</v>
      </c>
      <c r="O3" t="s">
        <v>305</v>
      </c>
      <c r="P3" t="s">
        <v>306</v>
      </c>
      <c r="Q3" t="s">
        <v>307</v>
      </c>
      <c r="R3" t="s">
        <v>308</v>
      </c>
      <c r="S3" s="21" t="s">
        <v>309</v>
      </c>
    </row>
    <row r="4" spans="1:19">
      <c r="A4">
        <v>2</v>
      </c>
      <c r="B4" t="s">
        <v>6</v>
      </c>
      <c r="C4">
        <v>16</v>
      </c>
      <c r="D4">
        <v>8</v>
      </c>
      <c r="E4" t="s">
        <v>6</v>
      </c>
      <c r="F4">
        <v>8</v>
      </c>
      <c r="G4">
        <v>4</v>
      </c>
      <c r="H4" t="s">
        <v>6</v>
      </c>
      <c r="I4">
        <f t="shared" ref="I4:I8" si="0">C4+F4*($B$1-1)</f>
        <v>408</v>
      </c>
      <c r="J4">
        <f t="shared" ref="J4:J8" si="1">I4/A4</f>
        <v>204</v>
      </c>
      <c r="O4" t="s">
        <v>310</v>
      </c>
      <c r="P4" t="s">
        <v>311</v>
      </c>
      <c r="Q4" t="s">
        <v>312</v>
      </c>
      <c r="R4" t="s">
        <v>313</v>
      </c>
      <c r="S4" s="21" t="s">
        <v>314</v>
      </c>
    </row>
    <row r="5" spans="1:19">
      <c r="A5">
        <v>2</v>
      </c>
      <c r="B5" t="s">
        <v>7</v>
      </c>
      <c r="C5">
        <v>10</v>
      </c>
      <c r="D5">
        <v>5</v>
      </c>
      <c r="E5" t="s">
        <v>7</v>
      </c>
      <c r="F5">
        <v>4</v>
      </c>
      <c r="G5">
        <v>2</v>
      </c>
      <c r="H5" t="s">
        <v>7</v>
      </c>
      <c r="I5">
        <f t="shared" si="0"/>
        <v>206</v>
      </c>
      <c r="J5">
        <f t="shared" si="1"/>
        <v>103</v>
      </c>
      <c r="O5" t="s">
        <v>315</v>
      </c>
      <c r="P5" t="s">
        <v>316</v>
      </c>
      <c r="Q5" t="s">
        <v>317</v>
      </c>
      <c r="S5" s="21" t="s">
        <v>318</v>
      </c>
    </row>
    <row r="6" spans="1:13">
      <c r="A6">
        <v>2</v>
      </c>
      <c r="B6" t="s">
        <v>8</v>
      </c>
      <c r="C6">
        <v>10</v>
      </c>
      <c r="D6">
        <v>5</v>
      </c>
      <c r="E6" t="s">
        <v>8</v>
      </c>
      <c r="F6">
        <v>2</v>
      </c>
      <c r="G6">
        <v>1</v>
      </c>
      <c r="H6" t="s">
        <v>8</v>
      </c>
      <c r="I6">
        <f t="shared" si="0"/>
        <v>108</v>
      </c>
      <c r="J6">
        <f t="shared" si="1"/>
        <v>54</v>
      </c>
      <c r="L6" s="2"/>
      <c r="M6" s="2"/>
    </row>
    <row r="7" spans="1:13">
      <c r="A7">
        <v>2</v>
      </c>
      <c r="B7" t="s">
        <v>9</v>
      </c>
      <c r="C7">
        <v>10</v>
      </c>
      <c r="D7">
        <v>5</v>
      </c>
      <c r="E7" t="s">
        <v>9</v>
      </c>
      <c r="F7">
        <v>2</v>
      </c>
      <c r="G7">
        <v>1</v>
      </c>
      <c r="H7" t="s">
        <v>9</v>
      </c>
      <c r="I7">
        <f t="shared" si="0"/>
        <v>108</v>
      </c>
      <c r="J7">
        <f t="shared" si="1"/>
        <v>54</v>
      </c>
      <c r="L7" s="2"/>
      <c r="M7" s="2"/>
    </row>
    <row r="8" spans="1:13">
      <c r="A8">
        <v>2</v>
      </c>
      <c r="B8" t="s">
        <v>10</v>
      </c>
      <c r="C8">
        <v>10</v>
      </c>
      <c r="D8">
        <v>5</v>
      </c>
      <c r="E8" t="s">
        <v>10</v>
      </c>
      <c r="F8">
        <v>2</v>
      </c>
      <c r="G8">
        <v>1</v>
      </c>
      <c r="H8" t="s">
        <v>10</v>
      </c>
      <c r="I8">
        <f t="shared" si="0"/>
        <v>108</v>
      </c>
      <c r="J8">
        <f t="shared" si="1"/>
        <v>54</v>
      </c>
      <c r="L8" s="2"/>
      <c r="M8" s="2"/>
    </row>
    <row r="9" spans="4:17">
      <c r="D9">
        <f>SUM(D3:D8)</f>
        <v>33</v>
      </c>
      <c r="G9">
        <f>SUM(G3:G8)</f>
        <v>11</v>
      </c>
      <c r="J9">
        <f>SUM(J3:J8)</f>
        <v>572</v>
      </c>
      <c r="Q9" s="2"/>
    </row>
    <row r="13" spans="17:17">
      <c r="Q13" s="14"/>
    </row>
    <row r="14" spans="1:17">
      <c r="A14" t="s">
        <v>319</v>
      </c>
      <c r="B14" t="s">
        <v>320</v>
      </c>
      <c r="C14" t="s">
        <v>321</v>
      </c>
      <c r="D14" t="s">
        <v>322</v>
      </c>
      <c r="E14" t="s">
        <v>323</v>
      </c>
      <c r="Q14" s="14"/>
    </row>
    <row r="15" spans="1:17">
      <c r="A15" t="s">
        <v>293</v>
      </c>
      <c r="B15">
        <f>D9+G9*49</f>
        <v>572</v>
      </c>
      <c r="C15">
        <v>120</v>
      </c>
      <c r="D15" s="13">
        <f t="shared" ref="D15:D22" si="2">ROUND(C15/$C$23*100,2)</f>
        <v>24</v>
      </c>
      <c r="E15" t="s">
        <v>324</v>
      </c>
      <c r="Q15" s="2"/>
    </row>
    <row r="16" spans="1:17">
      <c r="A16" t="s">
        <v>325</v>
      </c>
      <c r="C16">
        <v>120</v>
      </c>
      <c r="D16" s="13">
        <f t="shared" si="2"/>
        <v>24</v>
      </c>
      <c r="E16" t="s">
        <v>326</v>
      </c>
      <c r="H16" t="s">
        <v>327</v>
      </c>
      <c r="I16" t="s">
        <v>313</v>
      </c>
      <c r="J16" t="s">
        <v>308</v>
      </c>
      <c r="K16" t="s">
        <v>328</v>
      </c>
      <c r="L16" t="s">
        <v>329</v>
      </c>
      <c r="Q16" s="14"/>
    </row>
    <row r="17" spans="1:17">
      <c r="A17" t="s">
        <v>330</v>
      </c>
      <c r="C17">
        <v>60</v>
      </c>
      <c r="D17" s="13">
        <f t="shared" si="2"/>
        <v>12</v>
      </c>
      <c r="E17" t="s">
        <v>331</v>
      </c>
      <c r="I17">
        <v>24</v>
      </c>
      <c r="J17">
        <v>72</v>
      </c>
      <c r="K17">
        <v>16</v>
      </c>
      <c r="L17">
        <v>8</v>
      </c>
      <c r="Q17" s="14"/>
    </row>
    <row r="18" spans="1:10">
      <c r="A18" t="s">
        <v>124</v>
      </c>
      <c r="C18">
        <v>40</v>
      </c>
      <c r="D18" s="13">
        <f t="shared" si="2"/>
        <v>8</v>
      </c>
      <c r="E18" t="s">
        <v>332</v>
      </c>
      <c r="H18" t="s">
        <v>124</v>
      </c>
      <c r="I18" t="s">
        <v>333</v>
      </c>
      <c r="J18" t="s">
        <v>334</v>
      </c>
    </row>
    <row r="19" spans="1:5">
      <c r="A19" t="s">
        <v>202</v>
      </c>
      <c r="C19">
        <v>40</v>
      </c>
      <c r="D19" s="13">
        <f t="shared" si="2"/>
        <v>8</v>
      </c>
      <c r="E19" t="s">
        <v>332</v>
      </c>
    </row>
    <row r="20" spans="1:17">
      <c r="A20" t="s">
        <v>125</v>
      </c>
      <c r="C20">
        <v>40</v>
      </c>
      <c r="D20" s="13">
        <f t="shared" si="2"/>
        <v>8</v>
      </c>
      <c r="E20" t="s">
        <v>335</v>
      </c>
      <c r="I20" t="s">
        <v>333</v>
      </c>
      <c r="J20" t="s">
        <v>334</v>
      </c>
      <c r="Q20" s="14"/>
    </row>
    <row r="21" spans="1:17">
      <c r="A21" t="s">
        <v>336</v>
      </c>
      <c r="C21">
        <v>40</v>
      </c>
      <c r="D21" s="13">
        <f t="shared" si="2"/>
        <v>8</v>
      </c>
      <c r="Q21" s="14"/>
    </row>
    <row r="22" spans="1:17">
      <c r="A22" t="s">
        <v>337</v>
      </c>
      <c r="C22">
        <v>40</v>
      </c>
      <c r="D22" s="13">
        <f t="shared" si="2"/>
        <v>8</v>
      </c>
      <c r="I22" t="s">
        <v>333</v>
      </c>
      <c r="J22" t="s">
        <v>334</v>
      </c>
      <c r="Q22" s="14"/>
    </row>
    <row r="23" spans="3:10">
      <c r="C23">
        <f>SUM(C15:C22)</f>
        <v>500</v>
      </c>
      <c r="D23">
        <f>SUM(D15:D22)</f>
        <v>100</v>
      </c>
      <c r="I23" t="s">
        <v>333</v>
      </c>
      <c r="J23" t="s">
        <v>334</v>
      </c>
    </row>
    <row r="24" spans="2:17">
      <c r="B24" t="s">
        <v>338</v>
      </c>
      <c r="C24">
        <f>B15/D15*100</f>
        <v>2383.33333333333</v>
      </c>
      <c r="Q24" s="2"/>
    </row>
    <row r="29" spans="17:17">
      <c r="Q29" s="2"/>
    </row>
    <row r="33" spans="17:17">
      <c r="Q33" s="2"/>
    </row>
    <row r="40" spans="17:17">
      <c r="Q40" s="2"/>
    </row>
    <row r="43" spans="17:17">
      <c r="Q43" s="2"/>
    </row>
    <row r="51" spans="12:13">
      <c r="L51" s="2"/>
      <c r="M51" s="2"/>
    </row>
    <row r="52" spans="12:13">
      <c r="L52" s="2"/>
      <c r="M52" s="2"/>
    </row>
    <row r="53" spans="12:13">
      <c r="L53" s="2"/>
      <c r="M53" s="2"/>
    </row>
    <row r="54" spans="12:13">
      <c r="L54" s="2"/>
      <c r="M54" s="2"/>
    </row>
    <row r="55" spans="12:13">
      <c r="L55" s="2"/>
      <c r="M55" s="2"/>
    </row>
    <row r="56" spans="12:13">
      <c r="L56" s="2"/>
      <c r="M56" s="2"/>
    </row>
    <row r="57" spans="12:13">
      <c r="L57" s="2"/>
      <c r="M57" s="2"/>
    </row>
    <row r="58" spans="12:13">
      <c r="L58" s="2"/>
      <c r="M58" s="2"/>
    </row>
    <row r="59" spans="12:13">
      <c r="L59" s="2"/>
      <c r="M59" s="2"/>
    </row>
    <row r="60" spans="12:13">
      <c r="L60" s="2"/>
      <c r="M60" s="2"/>
    </row>
    <row r="61" spans="12:13">
      <c r="L61" s="2"/>
      <c r="M61" s="2"/>
    </row>
    <row r="62" spans="12:13">
      <c r="L62" s="2"/>
      <c r="M62" s="2"/>
    </row>
    <row r="63" spans="12:13">
      <c r="L63" s="2"/>
      <c r="M63" s="2"/>
    </row>
    <row r="64" spans="12:13">
      <c r="L64" s="2"/>
      <c r="M64" s="2"/>
    </row>
    <row r="65" spans="12:13">
      <c r="L65" s="2"/>
      <c r="M65" s="2"/>
    </row>
    <row r="66" spans="12:13">
      <c r="L66" s="2"/>
      <c r="M66" s="2"/>
    </row>
    <row r="67" spans="12:13">
      <c r="L67" s="2"/>
      <c r="M67" s="2"/>
    </row>
    <row r="68" spans="12:20">
      <c r="L68" s="2" t="s">
        <v>339</v>
      </c>
      <c r="M68" s="2"/>
      <c r="N68" s="2"/>
      <c r="O68" s="2"/>
      <c r="P68" s="2"/>
      <c r="Q68" s="2"/>
      <c r="R68" s="2"/>
      <c r="S68" s="2"/>
      <c r="T68" s="2"/>
    </row>
    <row r="69" spans="13:14">
      <c r="M69" s="2"/>
      <c r="N69" s="2"/>
    </row>
    <row r="70" spans="13:14">
      <c r="M70" s="2"/>
      <c r="N70" s="2"/>
    </row>
    <row r="71" spans="13:15">
      <c r="M71" s="2"/>
      <c r="N71" s="2"/>
      <c r="O71" t="s">
        <v>340</v>
      </c>
    </row>
    <row r="72" spans="13:15">
      <c r="M72" s="2" t="s">
        <v>341</v>
      </c>
      <c r="N72" s="2"/>
      <c r="O72" t="s">
        <v>342</v>
      </c>
    </row>
    <row r="73" spans="13:15">
      <c r="M73" s="2" t="s">
        <v>341</v>
      </c>
      <c r="N73" s="2"/>
      <c r="O73" t="s">
        <v>343</v>
      </c>
    </row>
    <row r="74" spans="13:15">
      <c r="M74" s="2" t="s">
        <v>341</v>
      </c>
      <c r="N74" s="2"/>
      <c r="O74" t="s">
        <v>344</v>
      </c>
    </row>
    <row r="75" spans="13:15">
      <c r="M75" s="2" t="s">
        <v>341</v>
      </c>
      <c r="N75" s="2"/>
      <c r="O75" t="s">
        <v>345</v>
      </c>
    </row>
    <row r="76" spans="13:15">
      <c r="M76" s="2" t="s">
        <v>341</v>
      </c>
      <c r="N76" s="2"/>
      <c r="O76" t="s">
        <v>346</v>
      </c>
    </row>
    <row r="77" spans="13:15">
      <c r="M77" s="2" t="s">
        <v>341</v>
      </c>
      <c r="N77" s="2"/>
      <c r="O77" t="s">
        <v>347</v>
      </c>
    </row>
    <row r="78" spans="12:28">
      <c r="L78" s="2"/>
      <c r="M78" s="2"/>
      <c r="U78" t="s">
        <v>348</v>
      </c>
      <c r="V78" t="s">
        <v>349</v>
      </c>
      <c r="Z78" t="s">
        <v>350</v>
      </c>
      <c r="AA78" t="s">
        <v>351</v>
      </c>
      <c r="AB78" t="s">
        <v>352</v>
      </c>
    </row>
    <row r="79" spans="12:13">
      <c r="L79" s="2"/>
      <c r="M79" s="2"/>
    </row>
    <row r="80" spans="12:13">
      <c r="L80" s="2"/>
      <c r="M80" s="2"/>
    </row>
    <row r="81" spans="12:14">
      <c r="L81" s="2"/>
      <c r="M81" s="2"/>
      <c r="N81" t="s">
        <v>353</v>
      </c>
    </row>
    <row r="82" spans="11:13">
      <c r="K82" t="s">
        <v>354</v>
      </c>
      <c r="L82" s="2"/>
      <c r="M82" s="2"/>
    </row>
    <row r="83" spans="11:13">
      <c r="K83" t="s">
        <v>355</v>
      </c>
      <c r="L83" s="2"/>
      <c r="M83" s="2"/>
    </row>
    <row r="84" spans="12:13">
      <c r="L84" s="2"/>
      <c r="M84" s="2"/>
    </row>
    <row r="85" customHeight="1" spans="11:20">
      <c r="K85" t="s">
        <v>33</v>
      </c>
      <c r="L85" s="2" t="s">
        <v>104</v>
      </c>
      <c r="M85" s="2"/>
      <c r="N85" s="12">
        <v>0.5</v>
      </c>
      <c r="O85" s="15" t="s">
        <v>356</v>
      </c>
      <c r="P85" s="16"/>
      <c r="Q85" s="16"/>
      <c r="R85" s="16"/>
      <c r="S85" s="16"/>
      <c r="T85" s="16"/>
    </row>
    <row r="86" spans="11:13">
      <c r="K86" t="s">
        <v>42</v>
      </c>
      <c r="L86" s="2" t="s">
        <v>104</v>
      </c>
      <c r="M86" s="2"/>
    </row>
    <row r="87" spans="11:13">
      <c r="K87" t="s">
        <v>357</v>
      </c>
      <c r="L87" s="2" t="s">
        <v>97</v>
      </c>
      <c r="M87" s="2"/>
    </row>
    <row r="88" spans="12:13">
      <c r="L88" s="2"/>
      <c r="M88" s="2"/>
    </row>
    <row r="89" spans="12:13">
      <c r="L89" s="2"/>
      <c r="M89" s="2"/>
    </row>
    <row r="90" spans="11:14">
      <c r="K90" t="s">
        <v>65</v>
      </c>
      <c r="L90" s="2"/>
      <c r="M90" s="2"/>
      <c r="N90" t="s">
        <v>358</v>
      </c>
    </row>
    <row r="91" spans="12:13">
      <c r="L91" s="2"/>
      <c r="M91" s="2"/>
    </row>
    <row r="203" spans="12:13">
      <c r="L203" s="2"/>
      <c r="M203" s="2"/>
    </row>
    <row r="204" spans="12:13">
      <c r="L204" s="2"/>
      <c r="M204" s="2"/>
    </row>
    <row r="205" spans="12:13">
      <c r="L205" s="2"/>
      <c r="M205" s="2"/>
    </row>
    <row r="206" spans="12:13">
      <c r="L206" s="2"/>
      <c r="M206" s="2"/>
    </row>
    <row r="207" spans="12:13">
      <c r="L207" s="2"/>
      <c r="M207" s="2"/>
    </row>
    <row r="208" spans="12:13">
      <c r="L208" s="2"/>
      <c r="M208" s="2"/>
    </row>
    <row r="209" spans="12:13">
      <c r="L209" s="2"/>
      <c r="M209" s="2"/>
    </row>
  </sheetData>
  <mergeCells count="2">
    <mergeCell ref="B2:C2"/>
    <mergeCell ref="E2:F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52"/>
  <sheetViews>
    <sheetView tabSelected="1" topLeftCell="A4" workbookViewId="0">
      <selection activeCell="K14" sqref="K14"/>
    </sheetView>
  </sheetViews>
  <sheetFormatPr defaultColWidth="9" defaultRowHeight="14.4"/>
  <cols>
    <col min="7" max="12" width="8.66666666666667" customWidth="1"/>
  </cols>
  <sheetData>
    <row r="1" spans="1:5">
      <c r="A1" t="s">
        <v>359</v>
      </c>
      <c r="B1" t="s">
        <v>360</v>
      </c>
      <c r="C1" t="s">
        <v>361</v>
      </c>
      <c r="D1" t="s">
        <v>362</v>
      </c>
      <c r="E1" t="s">
        <v>363</v>
      </c>
    </row>
    <row r="2" spans="1:5">
      <c r="A2" t="s">
        <v>123</v>
      </c>
      <c r="B2" t="s">
        <v>6</v>
      </c>
      <c r="C2" t="s">
        <v>364</v>
      </c>
      <c r="D2" t="s">
        <v>365</v>
      </c>
      <c r="E2" t="s">
        <v>366</v>
      </c>
    </row>
    <row r="3" spans="1:5">
      <c r="A3" t="s">
        <v>367</v>
      </c>
      <c r="B3" t="s">
        <v>7</v>
      </c>
      <c r="C3" t="s">
        <v>368</v>
      </c>
      <c r="D3" t="s">
        <v>369</v>
      </c>
      <c r="E3" t="s">
        <v>370</v>
      </c>
    </row>
    <row r="4" spans="1:5">
      <c r="A4" t="s">
        <v>371</v>
      </c>
      <c r="B4" t="s">
        <v>5</v>
      </c>
      <c r="C4" t="s">
        <v>372</v>
      </c>
      <c r="D4" t="s">
        <v>373</v>
      </c>
      <c r="E4" t="s">
        <v>374</v>
      </c>
    </row>
    <row r="5" spans="1:5">
      <c r="A5" t="s">
        <v>375</v>
      </c>
      <c r="B5" t="s">
        <v>9</v>
      </c>
      <c r="C5" t="s">
        <v>376</v>
      </c>
      <c r="D5" t="s">
        <v>377</v>
      </c>
      <c r="E5" t="s">
        <v>378</v>
      </c>
    </row>
    <row r="6" spans="1:5">
      <c r="A6" t="s">
        <v>379</v>
      </c>
      <c r="B6" t="s">
        <v>8</v>
      </c>
      <c r="C6" t="s">
        <v>380</v>
      </c>
      <c r="D6" t="s">
        <v>380</v>
      </c>
      <c r="E6" t="s">
        <v>380</v>
      </c>
    </row>
    <row r="7" spans="1:5">
      <c r="A7" t="s">
        <v>381</v>
      </c>
      <c r="B7" t="s">
        <v>10</v>
      </c>
      <c r="C7" t="s">
        <v>380</v>
      </c>
      <c r="D7" t="s">
        <v>380</v>
      </c>
      <c r="E7" t="s">
        <v>380</v>
      </c>
    </row>
    <row r="11" spans="1:8">
      <c r="A11" t="s">
        <v>382</v>
      </c>
      <c r="B11" t="s">
        <v>383</v>
      </c>
      <c r="C11" t="s">
        <v>384</v>
      </c>
      <c r="D11" t="s">
        <v>385</v>
      </c>
      <c r="H11" t="s">
        <v>386</v>
      </c>
    </row>
    <row r="12" spans="1:17">
      <c r="A12" t="s">
        <v>387</v>
      </c>
      <c r="B12">
        <v>3</v>
      </c>
      <c r="C12" t="s">
        <v>388</v>
      </c>
      <c r="D12">
        <v>1</v>
      </c>
      <c r="H12" t="s">
        <v>389</v>
      </c>
      <c r="Q12" t="s">
        <v>329</v>
      </c>
    </row>
    <row r="13" spans="1:18">
      <c r="A13" t="s">
        <v>390</v>
      </c>
      <c r="B13">
        <v>6</v>
      </c>
      <c r="C13" t="s">
        <v>391</v>
      </c>
      <c r="D13">
        <v>2</v>
      </c>
      <c r="G13" t="s">
        <v>364</v>
      </c>
      <c r="H13" t="s">
        <v>6</v>
      </c>
      <c r="I13" s="12">
        <v>0.85</v>
      </c>
      <c r="J13" t="s">
        <v>10</v>
      </c>
      <c r="K13" s="12" t="s">
        <v>32</v>
      </c>
      <c r="L13" s="12" t="s">
        <v>8</v>
      </c>
      <c r="N13" t="s">
        <v>392</v>
      </c>
      <c r="R13" t="s">
        <v>393</v>
      </c>
    </row>
    <row r="14" spans="1:14">
      <c r="A14" t="s">
        <v>394</v>
      </c>
      <c r="B14">
        <v>9</v>
      </c>
      <c r="C14" t="s">
        <v>395</v>
      </c>
      <c r="D14">
        <v>3</v>
      </c>
      <c r="G14" t="s">
        <v>365</v>
      </c>
      <c r="H14" t="s">
        <v>6</v>
      </c>
      <c r="I14" s="12">
        <v>1</v>
      </c>
      <c r="J14" t="s">
        <v>30</v>
      </c>
      <c r="K14" t="s">
        <v>76</v>
      </c>
      <c r="L14" t="s">
        <v>396</v>
      </c>
      <c r="N14" t="s">
        <v>212</v>
      </c>
    </row>
    <row r="15" spans="1:12">
      <c r="A15" t="s">
        <v>397</v>
      </c>
      <c r="B15">
        <v>12</v>
      </c>
      <c r="C15" t="s">
        <v>398</v>
      </c>
      <c r="D15">
        <v>4</v>
      </c>
      <c r="G15" t="s">
        <v>366</v>
      </c>
      <c r="H15" t="s">
        <v>6</v>
      </c>
      <c r="I15" s="12">
        <v>1.15</v>
      </c>
      <c r="J15" t="s">
        <v>45</v>
      </c>
      <c r="K15" s="12" t="s">
        <v>396</v>
      </c>
      <c r="L15" t="s">
        <v>46</v>
      </c>
    </row>
    <row r="16" spans="1:18">
      <c r="A16" t="s">
        <v>399</v>
      </c>
      <c r="B16">
        <v>15</v>
      </c>
      <c r="C16" t="s">
        <v>400</v>
      </c>
      <c r="D16">
        <v>5</v>
      </c>
      <c r="G16" t="s">
        <v>368</v>
      </c>
      <c r="H16" t="s">
        <v>7</v>
      </c>
      <c r="I16" s="12">
        <v>0.85</v>
      </c>
      <c r="J16" t="s">
        <v>401</v>
      </c>
      <c r="K16" t="s">
        <v>69</v>
      </c>
      <c r="Q16" t="s">
        <v>402</v>
      </c>
      <c r="R16" s="12">
        <v>0.06</v>
      </c>
    </row>
    <row r="17" spans="7:18">
      <c r="G17" t="s">
        <v>369</v>
      </c>
      <c r="H17" t="s">
        <v>7</v>
      </c>
      <c r="I17" s="12">
        <v>1</v>
      </c>
      <c r="J17" t="s">
        <v>402</v>
      </c>
      <c r="K17" t="s">
        <v>403</v>
      </c>
      <c r="Q17" t="s">
        <v>402</v>
      </c>
      <c r="R17" s="12">
        <v>0.07</v>
      </c>
    </row>
    <row r="18" spans="7:18">
      <c r="G18" t="s">
        <v>370</v>
      </c>
      <c r="H18" t="s">
        <v>7</v>
      </c>
      <c r="I18" s="12">
        <v>1.15</v>
      </c>
      <c r="J18" t="s">
        <v>49</v>
      </c>
      <c r="K18" s="12" t="s">
        <v>404</v>
      </c>
      <c r="Q18" t="s">
        <v>402</v>
      </c>
      <c r="R18" s="12">
        <v>0.08</v>
      </c>
    </row>
    <row r="19" spans="1:18">
      <c r="A19" s="2" t="s">
        <v>329</v>
      </c>
      <c r="B19" s="2"/>
      <c r="C19" s="2"/>
      <c r="D19" s="2"/>
      <c r="G19" t="s">
        <v>372</v>
      </c>
      <c r="H19" t="s">
        <v>5</v>
      </c>
      <c r="J19" t="s">
        <v>78</v>
      </c>
      <c r="K19" t="s">
        <v>405</v>
      </c>
      <c r="Q19" t="s">
        <v>402</v>
      </c>
      <c r="R19" s="12">
        <v>0.04</v>
      </c>
    </row>
    <row r="20" spans="1:18">
      <c r="A20">
        <v>1</v>
      </c>
      <c r="B20" t="s">
        <v>406</v>
      </c>
      <c r="G20" t="s">
        <v>373</v>
      </c>
      <c r="H20" t="s">
        <v>5</v>
      </c>
      <c r="J20" t="s">
        <v>63</v>
      </c>
      <c r="K20" t="s">
        <v>68</v>
      </c>
      <c r="Q20" t="s">
        <v>402</v>
      </c>
      <c r="R20" s="12">
        <v>0.05</v>
      </c>
    </row>
    <row r="21" spans="1:18">
      <c r="A21">
        <v>2</v>
      </c>
      <c r="B21" t="s">
        <v>306</v>
      </c>
      <c r="G21" t="s">
        <v>374</v>
      </c>
      <c r="H21" t="s">
        <v>5</v>
      </c>
      <c r="J21" t="s">
        <v>64</v>
      </c>
      <c r="K21" t="s">
        <v>67</v>
      </c>
      <c r="Q21" t="s">
        <v>402</v>
      </c>
      <c r="R21" s="12">
        <v>0.05</v>
      </c>
    </row>
    <row r="22" spans="1:18">
      <c r="A22">
        <v>3</v>
      </c>
      <c r="B22" t="s">
        <v>407</v>
      </c>
      <c r="G22" t="s">
        <v>376</v>
      </c>
      <c r="H22" t="s">
        <v>9</v>
      </c>
      <c r="I22" s="12">
        <v>1.15</v>
      </c>
      <c r="M22" t="s">
        <v>62</v>
      </c>
      <c r="O22" t="s">
        <v>76</v>
      </c>
      <c r="Q22" t="s">
        <v>402</v>
      </c>
      <c r="R22" s="12">
        <v>0.04</v>
      </c>
    </row>
    <row r="23" spans="1:18">
      <c r="A23">
        <v>4</v>
      </c>
      <c r="B23" t="s">
        <v>408</v>
      </c>
      <c r="G23" t="s">
        <v>377</v>
      </c>
      <c r="H23" t="s">
        <v>9</v>
      </c>
      <c r="I23" s="12">
        <v>1</v>
      </c>
      <c r="Q23" t="s">
        <v>402</v>
      </c>
      <c r="R23" s="12">
        <v>0.05</v>
      </c>
    </row>
    <row r="24" spans="1:31">
      <c r="A24">
        <v>5</v>
      </c>
      <c r="B24" t="s">
        <v>409</v>
      </c>
      <c r="G24" t="s">
        <v>378</v>
      </c>
      <c r="H24" t="s">
        <v>9</v>
      </c>
      <c r="I24" s="12">
        <v>0.85</v>
      </c>
      <c r="J24" t="s">
        <v>50</v>
      </c>
      <c r="K24" t="s">
        <v>76</v>
      </c>
      <c r="Q24" t="s">
        <v>402</v>
      </c>
      <c r="R24" s="12">
        <v>0.06</v>
      </c>
      <c r="U24" t="s">
        <v>30</v>
      </c>
      <c r="W24" t="s">
        <v>31</v>
      </c>
      <c r="Y24" t="s">
        <v>35</v>
      </c>
      <c r="AA24" t="s">
        <v>45</v>
      </c>
      <c r="AC24" t="s">
        <v>87</v>
      </c>
      <c r="AE24" t="s">
        <v>41</v>
      </c>
    </row>
    <row r="25" spans="7:12">
      <c r="G25" t="s">
        <v>379</v>
      </c>
      <c r="L25" t="s">
        <v>410</v>
      </c>
    </row>
    <row r="26" spans="7:12">
      <c r="G26" t="s">
        <v>381</v>
      </c>
      <c r="H26" t="s">
        <v>10</v>
      </c>
      <c r="J26" t="s">
        <v>33</v>
      </c>
      <c r="K26" t="s">
        <v>32</v>
      </c>
      <c r="L26" t="s">
        <v>411</v>
      </c>
    </row>
    <row r="32" spans="15:19">
      <c r="O32" t="s">
        <v>412</v>
      </c>
      <c r="P32" t="s">
        <v>413</v>
      </c>
      <c r="Q32" t="s">
        <v>414</v>
      </c>
      <c r="R32" t="s">
        <v>382</v>
      </c>
      <c r="S32" t="s">
        <v>415</v>
      </c>
    </row>
    <row r="33" spans="15:31">
      <c r="O33">
        <v>1</v>
      </c>
      <c r="P33" t="s">
        <v>416</v>
      </c>
      <c r="Q33" t="s">
        <v>417</v>
      </c>
      <c r="R33" t="s">
        <v>418</v>
      </c>
      <c r="S33" t="s">
        <v>419</v>
      </c>
      <c r="AE33" s="12"/>
    </row>
    <row r="34" spans="15:31">
      <c r="O34">
        <v>2</v>
      </c>
      <c r="P34" t="s">
        <v>420</v>
      </c>
      <c r="Q34" t="s">
        <v>421</v>
      </c>
      <c r="R34" t="s">
        <v>418</v>
      </c>
      <c r="S34" t="s">
        <v>419</v>
      </c>
      <c r="AE34" s="12"/>
    </row>
    <row r="35" spans="15:31">
      <c r="O35">
        <v>3</v>
      </c>
      <c r="P35" t="s">
        <v>422</v>
      </c>
      <c r="Q35" t="s">
        <v>423</v>
      </c>
      <c r="R35" t="s">
        <v>424</v>
      </c>
      <c r="S35" t="s">
        <v>419</v>
      </c>
      <c r="Y35" t="s">
        <v>409</v>
      </c>
      <c r="AE35" s="12"/>
    </row>
    <row r="36" spans="15:31">
      <c r="O36">
        <v>4</v>
      </c>
      <c r="P36" t="s">
        <v>425</v>
      </c>
      <c r="Q36" t="s">
        <v>426</v>
      </c>
      <c r="R36" t="s">
        <v>418</v>
      </c>
      <c r="S36" t="s">
        <v>419</v>
      </c>
      <c r="AE36" s="13"/>
    </row>
    <row r="37" spans="15:31">
      <c r="O37">
        <v>5</v>
      </c>
      <c r="P37" t="s">
        <v>427</v>
      </c>
      <c r="Q37" t="s">
        <v>428</v>
      </c>
      <c r="R37" t="s">
        <v>429</v>
      </c>
      <c r="S37" t="s">
        <v>419</v>
      </c>
      <c r="Y37" t="s">
        <v>430</v>
      </c>
      <c r="Z37" t="s">
        <v>388</v>
      </c>
      <c r="AA37" t="s">
        <v>391</v>
      </c>
      <c r="AB37" t="s">
        <v>395</v>
      </c>
      <c r="AC37" t="s">
        <v>398</v>
      </c>
      <c r="AD37" t="s">
        <v>400</v>
      </c>
      <c r="AE37" s="13"/>
    </row>
    <row r="38" spans="25:31">
      <c r="Y38" t="s">
        <v>431</v>
      </c>
      <c r="Z38">
        <v>4</v>
      </c>
      <c r="AA38">
        <v>5</v>
      </c>
      <c r="AB38">
        <v>5</v>
      </c>
      <c r="AC38">
        <v>6</v>
      </c>
      <c r="AD38">
        <v>6</v>
      </c>
      <c r="AE38" s="13"/>
    </row>
    <row r="39" spans="25:31">
      <c r="Y39" t="s">
        <v>432</v>
      </c>
      <c r="Z39">
        <v>6</v>
      </c>
      <c r="AA39">
        <v>7</v>
      </c>
      <c r="AB39">
        <v>8</v>
      </c>
      <c r="AC39">
        <v>9</v>
      </c>
      <c r="AD39">
        <v>10</v>
      </c>
      <c r="AE39" s="13"/>
    </row>
    <row r="40" spans="15:31">
      <c r="O40" t="s">
        <v>412</v>
      </c>
      <c r="P40" t="s">
        <v>413</v>
      </c>
      <c r="Q40" t="s">
        <v>414</v>
      </c>
      <c r="R40" t="s">
        <v>382</v>
      </c>
      <c r="S40" t="s">
        <v>415</v>
      </c>
      <c r="Y40" t="s">
        <v>433</v>
      </c>
      <c r="Z40">
        <v>8</v>
      </c>
      <c r="AA40">
        <v>9</v>
      </c>
      <c r="AB40">
        <v>10</v>
      </c>
      <c r="AC40">
        <v>12</v>
      </c>
      <c r="AD40">
        <v>13</v>
      </c>
      <c r="AE40" s="13"/>
    </row>
    <row r="41" spans="15:31">
      <c r="O41">
        <v>6</v>
      </c>
      <c r="P41" t="s">
        <v>434</v>
      </c>
      <c r="Q41" t="s">
        <v>435</v>
      </c>
      <c r="R41" t="s">
        <v>418</v>
      </c>
      <c r="S41" t="s">
        <v>436</v>
      </c>
      <c r="Y41" t="s">
        <v>437</v>
      </c>
      <c r="Z41">
        <v>10</v>
      </c>
      <c r="AA41">
        <v>12</v>
      </c>
      <c r="AB41">
        <v>13</v>
      </c>
      <c r="AC41">
        <v>15</v>
      </c>
      <c r="AD41">
        <v>16</v>
      </c>
      <c r="AE41" s="13"/>
    </row>
    <row r="42" spans="15:31">
      <c r="O42">
        <v>7</v>
      </c>
      <c r="P42" t="s">
        <v>438</v>
      </c>
      <c r="Q42" t="s">
        <v>439</v>
      </c>
      <c r="R42" t="s">
        <v>418</v>
      </c>
      <c r="S42" t="s">
        <v>436</v>
      </c>
      <c r="Y42" t="s">
        <v>440</v>
      </c>
      <c r="Z42">
        <v>12</v>
      </c>
      <c r="AA42">
        <v>14</v>
      </c>
      <c r="AB42">
        <v>16</v>
      </c>
      <c r="AC42">
        <v>17</v>
      </c>
      <c r="AD42">
        <v>19</v>
      </c>
      <c r="AE42" s="13"/>
    </row>
    <row r="43" spans="15:31">
      <c r="O43">
        <v>8</v>
      </c>
      <c r="P43" t="s">
        <v>441</v>
      </c>
      <c r="Q43" t="s">
        <v>442</v>
      </c>
      <c r="R43" t="s">
        <v>418</v>
      </c>
      <c r="S43" t="s">
        <v>443</v>
      </c>
      <c r="AE43" s="13"/>
    </row>
    <row r="44" spans="15:31">
      <c r="O44">
        <v>9</v>
      </c>
      <c r="P44" t="s">
        <v>444</v>
      </c>
      <c r="Q44" t="s">
        <v>445</v>
      </c>
      <c r="R44" t="s">
        <v>418</v>
      </c>
      <c r="S44" t="s">
        <v>446</v>
      </c>
      <c r="Y44" t="s">
        <v>430</v>
      </c>
      <c r="Z44" t="s">
        <v>388</v>
      </c>
      <c r="AA44" t="s">
        <v>391</v>
      </c>
      <c r="AB44" t="s">
        <v>395</v>
      </c>
      <c r="AC44" t="s">
        <v>398</v>
      </c>
      <c r="AD44" t="s">
        <v>400</v>
      </c>
      <c r="AE44" s="13"/>
    </row>
    <row r="45" spans="15:31">
      <c r="O45">
        <v>10</v>
      </c>
      <c r="P45" t="s">
        <v>447</v>
      </c>
      <c r="Q45" t="s">
        <v>448</v>
      </c>
      <c r="R45" t="s">
        <v>429</v>
      </c>
      <c r="S45" t="s">
        <v>449</v>
      </c>
      <c r="Y45" t="s">
        <v>431</v>
      </c>
      <c r="Z45" t="s">
        <v>380</v>
      </c>
      <c r="AA45" t="s">
        <v>380</v>
      </c>
      <c r="AB45" t="s">
        <v>380</v>
      </c>
      <c r="AC45" t="s">
        <v>380</v>
      </c>
      <c r="AD45" t="s">
        <v>380</v>
      </c>
      <c r="AE45" s="13"/>
    </row>
    <row r="46" spans="15:31">
      <c r="O46">
        <v>11</v>
      </c>
      <c r="P46" t="s">
        <v>450</v>
      </c>
      <c r="Q46" t="s">
        <v>451</v>
      </c>
      <c r="R46" t="s">
        <v>424</v>
      </c>
      <c r="S46" t="s">
        <v>443</v>
      </c>
      <c r="Y46" t="s">
        <v>432</v>
      </c>
      <c r="Z46" t="s">
        <v>380</v>
      </c>
      <c r="AA46" t="s">
        <v>380</v>
      </c>
      <c r="AB46">
        <v>4</v>
      </c>
      <c r="AC46">
        <v>5</v>
      </c>
      <c r="AD46">
        <v>6</v>
      </c>
      <c r="AE46" s="13"/>
    </row>
    <row r="47" spans="25:31">
      <c r="Y47" t="s">
        <v>433</v>
      </c>
      <c r="Z47" t="s">
        <v>380</v>
      </c>
      <c r="AA47" t="s">
        <v>380</v>
      </c>
      <c r="AB47">
        <v>6</v>
      </c>
      <c r="AC47">
        <v>7</v>
      </c>
      <c r="AD47">
        <v>8</v>
      </c>
      <c r="AE47" s="13"/>
    </row>
    <row r="48" spans="15:31">
      <c r="O48" t="s">
        <v>412</v>
      </c>
      <c r="P48" t="s">
        <v>413</v>
      </c>
      <c r="Q48" t="s">
        <v>414</v>
      </c>
      <c r="R48" t="s">
        <v>382</v>
      </c>
      <c r="S48" t="s">
        <v>415</v>
      </c>
      <c r="Y48" t="s">
        <v>437</v>
      </c>
      <c r="Z48" t="s">
        <v>380</v>
      </c>
      <c r="AA48" t="s">
        <v>380</v>
      </c>
      <c r="AB48">
        <v>8</v>
      </c>
      <c r="AC48">
        <v>9</v>
      </c>
      <c r="AD48">
        <v>10</v>
      </c>
      <c r="AE48" s="13"/>
    </row>
    <row r="49" spans="15:31">
      <c r="O49">
        <v>12</v>
      </c>
      <c r="P49" t="s">
        <v>452</v>
      </c>
      <c r="Q49" t="s">
        <v>453</v>
      </c>
      <c r="R49" t="s">
        <v>418</v>
      </c>
      <c r="S49" t="s">
        <v>454</v>
      </c>
      <c r="Y49" t="s">
        <v>440</v>
      </c>
      <c r="Z49" t="s">
        <v>380</v>
      </c>
      <c r="AA49" t="s">
        <v>380</v>
      </c>
      <c r="AB49">
        <v>10</v>
      </c>
      <c r="AC49">
        <v>11</v>
      </c>
      <c r="AD49">
        <v>12</v>
      </c>
      <c r="AE49" s="13"/>
    </row>
    <row r="50" spans="15:31">
      <c r="O50">
        <v>13</v>
      </c>
      <c r="P50" t="s">
        <v>455</v>
      </c>
      <c r="Q50" t="s">
        <v>456</v>
      </c>
      <c r="R50" t="s">
        <v>418</v>
      </c>
      <c r="S50" t="s">
        <v>457</v>
      </c>
      <c r="AE50" s="13"/>
    </row>
    <row r="51" spans="15:31">
      <c r="O51">
        <v>14</v>
      </c>
      <c r="P51" t="s">
        <v>458</v>
      </c>
      <c r="Q51" t="s">
        <v>459</v>
      </c>
      <c r="R51" t="s">
        <v>418</v>
      </c>
      <c r="S51" t="s">
        <v>460</v>
      </c>
      <c r="Y51" t="s">
        <v>325</v>
      </c>
      <c r="Z51" t="s">
        <v>328</v>
      </c>
      <c r="AA51" t="s">
        <v>461</v>
      </c>
      <c r="AB51" t="s">
        <v>462</v>
      </c>
      <c r="AE51" s="13"/>
    </row>
    <row r="52" spans="15:31">
      <c r="O52">
        <v>15</v>
      </c>
      <c r="P52" t="s">
        <v>463</v>
      </c>
      <c r="Q52" t="s">
        <v>464</v>
      </c>
      <c r="R52" t="s">
        <v>418</v>
      </c>
      <c r="S52" t="s">
        <v>465</v>
      </c>
      <c r="Y52" t="s">
        <v>123</v>
      </c>
      <c r="Z52" t="s">
        <v>6</v>
      </c>
      <c r="AA52" t="s">
        <v>466</v>
      </c>
      <c r="AB52" t="s">
        <v>467</v>
      </c>
      <c r="AE52" s="13"/>
    </row>
    <row r="53" spans="15:31">
      <c r="O53">
        <v>16</v>
      </c>
      <c r="P53" t="s">
        <v>468</v>
      </c>
      <c r="Q53" t="s">
        <v>469</v>
      </c>
      <c r="R53" t="s">
        <v>429</v>
      </c>
      <c r="S53" t="s">
        <v>470</v>
      </c>
      <c r="Y53" t="s">
        <v>471</v>
      </c>
      <c r="Z53" t="s">
        <v>5</v>
      </c>
      <c r="AA53" t="s">
        <v>472</v>
      </c>
      <c r="AB53" t="s">
        <v>473</v>
      </c>
      <c r="AE53" s="13"/>
    </row>
    <row r="54" spans="15:31">
      <c r="O54">
        <v>17</v>
      </c>
      <c r="P54" t="s">
        <v>84</v>
      </c>
      <c r="Q54" t="s">
        <v>474</v>
      </c>
      <c r="R54" t="s">
        <v>429</v>
      </c>
      <c r="S54" t="s">
        <v>475</v>
      </c>
      <c r="Y54" t="s">
        <v>374</v>
      </c>
      <c r="Z54" t="s">
        <v>7</v>
      </c>
      <c r="AA54" t="s">
        <v>476</v>
      </c>
      <c r="AB54" t="s">
        <v>477</v>
      </c>
      <c r="AE54" s="13"/>
    </row>
    <row r="55" spans="25:31">
      <c r="Y55" t="s">
        <v>478</v>
      </c>
      <c r="Z55" t="s">
        <v>10</v>
      </c>
      <c r="AA55" t="s">
        <v>479</v>
      </c>
      <c r="AB55" t="s">
        <v>480</v>
      </c>
      <c r="AE55" s="13"/>
    </row>
    <row r="56" spans="15:31">
      <c r="O56" t="s">
        <v>412</v>
      </c>
      <c r="P56" t="s">
        <v>413</v>
      </c>
      <c r="Q56" t="s">
        <v>414</v>
      </c>
      <c r="R56" t="s">
        <v>382</v>
      </c>
      <c r="S56" t="s">
        <v>415</v>
      </c>
      <c r="Y56" t="s">
        <v>379</v>
      </c>
      <c r="Z56" t="s">
        <v>8</v>
      </c>
      <c r="AA56" t="s">
        <v>481</v>
      </c>
      <c r="AB56" t="s">
        <v>482</v>
      </c>
      <c r="AE56" s="13"/>
    </row>
    <row r="57" spans="15:28">
      <c r="O57">
        <v>18</v>
      </c>
      <c r="P57" t="s">
        <v>483</v>
      </c>
      <c r="Q57" t="s">
        <v>484</v>
      </c>
      <c r="R57" t="s">
        <v>418</v>
      </c>
      <c r="S57" t="s">
        <v>485</v>
      </c>
      <c r="Y57" t="s">
        <v>486</v>
      </c>
      <c r="Z57" t="s">
        <v>9</v>
      </c>
      <c r="AA57" t="s">
        <v>466</v>
      </c>
      <c r="AB57" t="s">
        <v>487</v>
      </c>
    </row>
    <row r="58" spans="15:31">
      <c r="O58">
        <v>19</v>
      </c>
      <c r="P58" t="s">
        <v>488</v>
      </c>
      <c r="Q58" t="s">
        <v>489</v>
      </c>
      <c r="R58" t="s">
        <v>418</v>
      </c>
      <c r="S58" t="s">
        <v>490</v>
      </c>
      <c r="AE58" s="13"/>
    </row>
    <row r="59" ht="15.6" spans="15:31">
      <c r="O59">
        <v>20</v>
      </c>
      <c r="P59" t="s">
        <v>491</v>
      </c>
      <c r="Q59" t="s">
        <v>492</v>
      </c>
      <c r="R59" t="s">
        <v>424</v>
      </c>
      <c r="S59" t="s">
        <v>419</v>
      </c>
      <c r="Y59" t="s">
        <v>493</v>
      </c>
      <c r="AE59" s="13"/>
    </row>
    <row r="60" ht="15.6" spans="15:31">
      <c r="O60">
        <v>21</v>
      </c>
      <c r="P60" t="s">
        <v>494</v>
      </c>
      <c r="Q60" t="s">
        <v>495</v>
      </c>
      <c r="R60" t="s">
        <v>418</v>
      </c>
      <c r="S60" t="s">
        <v>485</v>
      </c>
      <c r="Y60" t="s">
        <v>496</v>
      </c>
      <c r="AE60" s="13"/>
    </row>
    <row r="61" spans="15:31">
      <c r="O61">
        <v>22</v>
      </c>
      <c r="P61" t="s">
        <v>497</v>
      </c>
      <c r="Q61" t="s">
        <v>498</v>
      </c>
      <c r="R61" t="s">
        <v>429</v>
      </c>
      <c r="S61" t="s">
        <v>490</v>
      </c>
      <c r="Y61" t="s">
        <v>499</v>
      </c>
      <c r="AE61" s="13"/>
    </row>
    <row r="62" spans="31:31">
      <c r="AE62" s="13"/>
    </row>
    <row r="63" spans="15:31">
      <c r="O63" t="s">
        <v>412</v>
      </c>
      <c r="P63" t="s">
        <v>413</v>
      </c>
      <c r="Q63" t="s">
        <v>414</v>
      </c>
      <c r="R63" t="s">
        <v>382</v>
      </c>
      <c r="S63" t="s">
        <v>415</v>
      </c>
      <c r="AE63" s="13"/>
    </row>
    <row r="64" spans="15:19">
      <c r="O64">
        <v>23</v>
      </c>
      <c r="P64" t="s">
        <v>500</v>
      </c>
      <c r="Q64" t="s">
        <v>501</v>
      </c>
      <c r="R64" t="s">
        <v>418</v>
      </c>
      <c r="S64" t="s">
        <v>502</v>
      </c>
    </row>
    <row r="65" spans="15:19">
      <c r="O65">
        <v>24</v>
      </c>
      <c r="P65" t="s">
        <v>503</v>
      </c>
      <c r="Q65" t="s">
        <v>504</v>
      </c>
      <c r="R65" t="s">
        <v>418</v>
      </c>
      <c r="S65" t="s">
        <v>505</v>
      </c>
    </row>
    <row r="66" spans="15:19">
      <c r="O66">
        <v>25</v>
      </c>
      <c r="P66" t="s">
        <v>506</v>
      </c>
      <c r="Q66" t="s">
        <v>507</v>
      </c>
      <c r="R66" t="s">
        <v>418</v>
      </c>
      <c r="S66" t="s">
        <v>508</v>
      </c>
    </row>
    <row r="67" spans="15:19">
      <c r="O67">
        <v>26</v>
      </c>
      <c r="P67" t="s">
        <v>509</v>
      </c>
      <c r="Q67" t="s">
        <v>510</v>
      </c>
      <c r="R67" t="s">
        <v>418</v>
      </c>
      <c r="S67" t="s">
        <v>508</v>
      </c>
    </row>
    <row r="68" spans="15:19">
      <c r="O68">
        <v>27</v>
      </c>
      <c r="P68" t="s">
        <v>511</v>
      </c>
      <c r="Q68" t="s">
        <v>512</v>
      </c>
      <c r="R68" t="s">
        <v>429</v>
      </c>
      <c r="S68" t="s">
        <v>508</v>
      </c>
    </row>
    <row r="70" spans="15:19">
      <c r="O70" t="s">
        <v>412</v>
      </c>
      <c r="P70" t="s">
        <v>413</v>
      </c>
      <c r="Q70" t="s">
        <v>414</v>
      </c>
      <c r="R70" t="s">
        <v>382</v>
      </c>
      <c r="S70" t="s">
        <v>415</v>
      </c>
    </row>
    <row r="71" spans="15:19">
      <c r="O71">
        <v>28</v>
      </c>
      <c r="P71" t="s">
        <v>513</v>
      </c>
      <c r="Q71" t="s">
        <v>514</v>
      </c>
      <c r="R71" t="s">
        <v>418</v>
      </c>
      <c r="S71" t="s">
        <v>515</v>
      </c>
    </row>
    <row r="72" spans="15:19">
      <c r="O72">
        <v>29</v>
      </c>
      <c r="P72" t="s">
        <v>516</v>
      </c>
      <c r="Q72" t="s">
        <v>517</v>
      </c>
      <c r="R72" t="s">
        <v>418</v>
      </c>
      <c r="S72" t="s">
        <v>518</v>
      </c>
    </row>
    <row r="73" spans="15:19">
      <c r="O73">
        <v>30</v>
      </c>
      <c r="P73" t="s">
        <v>519</v>
      </c>
      <c r="Q73" t="s">
        <v>520</v>
      </c>
      <c r="R73" t="s">
        <v>429</v>
      </c>
      <c r="S73" t="s">
        <v>518</v>
      </c>
    </row>
    <row r="75" spans="15:20">
      <c r="O75" t="s">
        <v>412</v>
      </c>
      <c r="P75" t="s">
        <v>413</v>
      </c>
      <c r="Q75" t="s">
        <v>521</v>
      </c>
      <c r="R75" t="s">
        <v>414</v>
      </c>
      <c r="S75" t="s">
        <v>382</v>
      </c>
      <c r="T75" t="s">
        <v>415</v>
      </c>
    </row>
    <row r="76" spans="15:20">
      <c r="O76">
        <v>1</v>
      </c>
      <c r="P76" t="s">
        <v>522</v>
      </c>
      <c r="Q76" t="s">
        <v>523</v>
      </c>
      <c r="R76" t="s">
        <v>524</v>
      </c>
      <c r="S76" t="s">
        <v>429</v>
      </c>
      <c r="T76" t="s">
        <v>419</v>
      </c>
    </row>
    <row r="77" spans="15:20">
      <c r="O77">
        <v>2</v>
      </c>
      <c r="P77" t="s">
        <v>525</v>
      </c>
      <c r="Q77" t="s">
        <v>526</v>
      </c>
      <c r="R77" t="s">
        <v>527</v>
      </c>
      <c r="S77" t="s">
        <v>429</v>
      </c>
      <c r="T77" t="s">
        <v>419</v>
      </c>
    </row>
    <row r="78" spans="15:20">
      <c r="O78">
        <v>3</v>
      </c>
      <c r="P78" t="s">
        <v>528</v>
      </c>
      <c r="Q78" t="s">
        <v>529</v>
      </c>
      <c r="R78" t="s">
        <v>530</v>
      </c>
      <c r="S78" t="s">
        <v>429</v>
      </c>
      <c r="T78" t="s">
        <v>531</v>
      </c>
    </row>
    <row r="79" spans="15:20">
      <c r="O79">
        <v>4</v>
      </c>
      <c r="P79" t="s">
        <v>532</v>
      </c>
      <c r="Q79" t="s">
        <v>533</v>
      </c>
      <c r="R79" t="s">
        <v>534</v>
      </c>
      <c r="S79" t="s">
        <v>418</v>
      </c>
      <c r="T79" t="s">
        <v>465</v>
      </c>
    </row>
    <row r="80" spans="15:20">
      <c r="O80">
        <v>5</v>
      </c>
      <c r="P80" t="s">
        <v>535</v>
      </c>
      <c r="Q80" t="s">
        <v>536</v>
      </c>
      <c r="R80" t="s">
        <v>537</v>
      </c>
      <c r="S80" t="s">
        <v>424</v>
      </c>
      <c r="T80" t="s">
        <v>538</v>
      </c>
    </row>
    <row r="82" spans="15:20">
      <c r="O82" t="s">
        <v>412</v>
      </c>
      <c r="P82" t="s">
        <v>413</v>
      </c>
      <c r="Q82" t="s">
        <v>521</v>
      </c>
      <c r="R82" t="s">
        <v>414</v>
      </c>
      <c r="S82" t="s">
        <v>382</v>
      </c>
      <c r="T82" t="s">
        <v>415</v>
      </c>
    </row>
    <row r="83" spans="15:20">
      <c r="O83">
        <v>6</v>
      </c>
      <c r="P83" t="s">
        <v>539</v>
      </c>
      <c r="Q83" t="s">
        <v>540</v>
      </c>
      <c r="R83" t="s">
        <v>541</v>
      </c>
      <c r="S83" t="s">
        <v>418</v>
      </c>
      <c r="T83" t="s">
        <v>470</v>
      </c>
    </row>
    <row r="84" spans="15:20">
      <c r="O84">
        <v>7</v>
      </c>
      <c r="P84" t="s">
        <v>542</v>
      </c>
      <c r="Q84" t="s">
        <v>368</v>
      </c>
      <c r="R84" t="s">
        <v>543</v>
      </c>
      <c r="S84" t="s">
        <v>429</v>
      </c>
      <c r="T84" t="s">
        <v>544</v>
      </c>
    </row>
    <row r="85" spans="15:20">
      <c r="O85">
        <v>8</v>
      </c>
      <c r="P85" t="s">
        <v>545</v>
      </c>
      <c r="Q85" t="s">
        <v>369</v>
      </c>
      <c r="R85" t="s">
        <v>546</v>
      </c>
      <c r="S85" t="s">
        <v>418</v>
      </c>
      <c r="T85" t="s">
        <v>457</v>
      </c>
    </row>
    <row r="86" spans="15:20">
      <c r="O86">
        <v>9</v>
      </c>
      <c r="P86" t="s">
        <v>547</v>
      </c>
      <c r="Q86" t="s">
        <v>370</v>
      </c>
      <c r="R86" t="s">
        <v>548</v>
      </c>
      <c r="S86" t="s">
        <v>418</v>
      </c>
      <c r="T86" t="s">
        <v>436</v>
      </c>
    </row>
    <row r="87" spans="15:20">
      <c r="O87">
        <v>10</v>
      </c>
      <c r="P87" t="s">
        <v>549</v>
      </c>
      <c r="Q87" t="s">
        <v>540</v>
      </c>
      <c r="R87" t="s">
        <v>550</v>
      </c>
      <c r="S87" t="s">
        <v>429</v>
      </c>
      <c r="T87" t="s">
        <v>443</v>
      </c>
    </row>
    <row r="89" spans="15:20">
      <c r="O89" t="s">
        <v>412</v>
      </c>
      <c r="P89" t="s">
        <v>413</v>
      </c>
      <c r="Q89" t="s">
        <v>521</v>
      </c>
      <c r="R89" t="s">
        <v>414</v>
      </c>
      <c r="S89" t="s">
        <v>382</v>
      </c>
      <c r="T89" t="s">
        <v>415</v>
      </c>
    </row>
    <row r="90" spans="15:20">
      <c r="O90">
        <v>11</v>
      </c>
      <c r="P90" t="s">
        <v>551</v>
      </c>
      <c r="Q90" t="s">
        <v>373</v>
      </c>
      <c r="R90" t="s">
        <v>552</v>
      </c>
      <c r="S90" t="s">
        <v>418</v>
      </c>
      <c r="T90" t="s">
        <v>490</v>
      </c>
    </row>
    <row r="91" spans="15:20">
      <c r="O91">
        <v>12</v>
      </c>
      <c r="P91" t="s">
        <v>553</v>
      </c>
      <c r="Q91" t="s">
        <v>374</v>
      </c>
      <c r="R91" t="s">
        <v>510</v>
      </c>
      <c r="S91" t="s">
        <v>418</v>
      </c>
      <c r="T91" t="s">
        <v>508</v>
      </c>
    </row>
    <row r="92" spans="15:20">
      <c r="O92">
        <v>13</v>
      </c>
      <c r="P92" t="s">
        <v>554</v>
      </c>
      <c r="Q92" t="s">
        <v>372</v>
      </c>
      <c r="R92" t="s">
        <v>555</v>
      </c>
      <c r="S92" t="s">
        <v>418</v>
      </c>
      <c r="T92" t="s">
        <v>508</v>
      </c>
    </row>
    <row r="93" spans="15:20">
      <c r="O93">
        <v>14</v>
      </c>
      <c r="P93" t="s">
        <v>556</v>
      </c>
      <c r="Q93" t="s">
        <v>557</v>
      </c>
      <c r="R93" t="s">
        <v>501</v>
      </c>
      <c r="S93" t="s">
        <v>418</v>
      </c>
      <c r="T93" t="s">
        <v>502</v>
      </c>
    </row>
    <row r="94" spans="15:20">
      <c r="O94">
        <v>15</v>
      </c>
      <c r="P94" t="s">
        <v>558</v>
      </c>
      <c r="Q94" t="s">
        <v>373</v>
      </c>
      <c r="R94" t="s">
        <v>559</v>
      </c>
      <c r="S94" t="s">
        <v>424</v>
      </c>
      <c r="T94" t="s">
        <v>490</v>
      </c>
    </row>
    <row r="96" spans="15:20">
      <c r="O96" t="s">
        <v>412</v>
      </c>
      <c r="P96" t="s">
        <v>413</v>
      </c>
      <c r="Q96" t="s">
        <v>521</v>
      </c>
      <c r="R96" t="s">
        <v>414</v>
      </c>
      <c r="S96" t="s">
        <v>382</v>
      </c>
      <c r="T96" t="s">
        <v>415</v>
      </c>
    </row>
    <row r="97" spans="15:20">
      <c r="O97">
        <v>16</v>
      </c>
      <c r="P97" t="s">
        <v>560</v>
      </c>
      <c r="Q97" t="s">
        <v>376</v>
      </c>
      <c r="R97" t="s">
        <v>504</v>
      </c>
      <c r="S97" t="s">
        <v>418</v>
      </c>
      <c r="T97" t="s">
        <v>505</v>
      </c>
    </row>
    <row r="98" spans="15:20">
      <c r="O98">
        <v>17</v>
      </c>
      <c r="P98" t="s">
        <v>561</v>
      </c>
      <c r="Q98" t="s">
        <v>378</v>
      </c>
      <c r="R98" t="s">
        <v>562</v>
      </c>
      <c r="S98" t="s">
        <v>429</v>
      </c>
      <c r="T98" t="s">
        <v>563</v>
      </c>
    </row>
    <row r="99" spans="15:20">
      <c r="O99">
        <v>18</v>
      </c>
      <c r="P99" t="s">
        <v>564</v>
      </c>
      <c r="Q99" t="s">
        <v>565</v>
      </c>
      <c r="R99" t="s">
        <v>566</v>
      </c>
      <c r="S99" t="s">
        <v>429</v>
      </c>
      <c r="T99" t="s">
        <v>419</v>
      </c>
    </row>
    <row r="100" spans="15:20">
      <c r="O100">
        <v>19</v>
      </c>
      <c r="P100" t="s">
        <v>567</v>
      </c>
      <c r="Q100" t="s">
        <v>568</v>
      </c>
      <c r="R100" t="s">
        <v>569</v>
      </c>
      <c r="S100" t="s">
        <v>418</v>
      </c>
      <c r="T100" t="s">
        <v>485</v>
      </c>
    </row>
    <row r="101" spans="15:20">
      <c r="O101">
        <v>20</v>
      </c>
      <c r="P101" t="s">
        <v>570</v>
      </c>
      <c r="Q101" t="s">
        <v>377</v>
      </c>
      <c r="R101" t="s">
        <v>571</v>
      </c>
      <c r="S101" t="s">
        <v>429</v>
      </c>
      <c r="T101" t="s">
        <v>508</v>
      </c>
    </row>
    <row r="103" spans="15:20">
      <c r="O103" t="s">
        <v>412</v>
      </c>
      <c r="P103" t="s">
        <v>413</v>
      </c>
      <c r="Q103" t="s">
        <v>521</v>
      </c>
      <c r="R103" t="s">
        <v>414</v>
      </c>
      <c r="S103" t="s">
        <v>382</v>
      </c>
      <c r="T103" t="s">
        <v>415</v>
      </c>
    </row>
    <row r="104" spans="15:20">
      <c r="O104">
        <v>26</v>
      </c>
      <c r="P104" t="s">
        <v>572</v>
      </c>
      <c r="Q104" t="s">
        <v>573</v>
      </c>
      <c r="R104" t="s">
        <v>574</v>
      </c>
      <c r="S104" t="s">
        <v>418</v>
      </c>
      <c r="T104" t="s">
        <v>460</v>
      </c>
    </row>
    <row r="105" spans="15:20">
      <c r="O105">
        <v>27</v>
      </c>
      <c r="P105" t="s">
        <v>575</v>
      </c>
      <c r="Q105" t="s">
        <v>576</v>
      </c>
      <c r="R105" t="s">
        <v>577</v>
      </c>
      <c r="S105" t="s">
        <v>429</v>
      </c>
      <c r="T105" t="s">
        <v>578</v>
      </c>
    </row>
    <row r="106" spans="15:20">
      <c r="O106">
        <v>28</v>
      </c>
      <c r="P106" t="s">
        <v>579</v>
      </c>
      <c r="Q106" t="s">
        <v>580</v>
      </c>
      <c r="R106" t="s">
        <v>581</v>
      </c>
      <c r="S106" t="s">
        <v>429</v>
      </c>
      <c r="T106" t="s">
        <v>470</v>
      </c>
    </row>
    <row r="107" spans="15:20">
      <c r="O107">
        <v>29</v>
      </c>
      <c r="P107" t="s">
        <v>582</v>
      </c>
      <c r="Q107" t="s">
        <v>583</v>
      </c>
      <c r="R107" t="s">
        <v>584</v>
      </c>
      <c r="S107" t="s">
        <v>429</v>
      </c>
      <c r="T107" t="s">
        <v>585</v>
      </c>
    </row>
    <row r="108" spans="15:20">
      <c r="O108">
        <v>30</v>
      </c>
      <c r="P108" t="s">
        <v>586</v>
      </c>
      <c r="Q108" t="s">
        <v>583</v>
      </c>
      <c r="R108" t="s">
        <v>587</v>
      </c>
      <c r="S108" t="s">
        <v>418</v>
      </c>
      <c r="T108" t="s">
        <v>454</v>
      </c>
    </row>
    <row r="110" spans="15:18">
      <c r="O110" t="s">
        <v>412</v>
      </c>
      <c r="P110" t="s">
        <v>413</v>
      </c>
      <c r="Q110" t="s">
        <v>414</v>
      </c>
      <c r="R110" t="s">
        <v>415</v>
      </c>
    </row>
    <row r="111" spans="15:18">
      <c r="O111">
        <v>1</v>
      </c>
      <c r="P111" t="s">
        <v>588</v>
      </c>
      <c r="Q111" t="s">
        <v>589</v>
      </c>
      <c r="R111" t="s">
        <v>590</v>
      </c>
    </row>
    <row r="112" spans="15:18">
      <c r="O112">
        <v>2</v>
      </c>
      <c r="P112" t="s">
        <v>591</v>
      </c>
      <c r="Q112" t="s">
        <v>592</v>
      </c>
      <c r="R112" t="s">
        <v>593</v>
      </c>
    </row>
    <row r="113" spans="15:18">
      <c r="O113">
        <v>3</v>
      </c>
      <c r="P113" t="s">
        <v>594</v>
      </c>
      <c r="Q113" t="s">
        <v>595</v>
      </c>
      <c r="R113" t="s">
        <v>590</v>
      </c>
    </row>
    <row r="114" spans="15:18">
      <c r="O114">
        <v>4</v>
      </c>
      <c r="P114" t="s">
        <v>596</v>
      </c>
      <c r="Q114" t="s">
        <v>597</v>
      </c>
      <c r="R114" t="s">
        <v>598</v>
      </c>
    </row>
    <row r="116" spans="15:18">
      <c r="O116" t="s">
        <v>412</v>
      </c>
      <c r="P116" t="s">
        <v>413</v>
      </c>
      <c r="Q116" t="s">
        <v>414</v>
      </c>
      <c r="R116" t="s">
        <v>415</v>
      </c>
    </row>
    <row r="117" spans="15:18">
      <c r="O117">
        <v>5</v>
      </c>
      <c r="P117" t="s">
        <v>599</v>
      </c>
      <c r="Q117" t="s">
        <v>600</v>
      </c>
      <c r="R117" t="s">
        <v>419</v>
      </c>
    </row>
    <row r="118" spans="15:18">
      <c r="O118">
        <v>6</v>
      </c>
      <c r="P118" t="s">
        <v>601</v>
      </c>
      <c r="Q118" t="s">
        <v>602</v>
      </c>
      <c r="R118" t="s">
        <v>465</v>
      </c>
    </row>
    <row r="119" spans="15:18">
      <c r="O119">
        <v>7</v>
      </c>
      <c r="P119" t="s">
        <v>603</v>
      </c>
      <c r="Q119" t="s">
        <v>604</v>
      </c>
      <c r="R119" t="s">
        <v>605</v>
      </c>
    </row>
    <row r="120" spans="15:18">
      <c r="O120">
        <v>8</v>
      </c>
      <c r="P120" t="s">
        <v>606</v>
      </c>
      <c r="Q120" t="s">
        <v>607</v>
      </c>
      <c r="R120" t="s">
        <v>608</v>
      </c>
    </row>
    <row r="121" spans="15:18">
      <c r="O121">
        <v>9</v>
      </c>
      <c r="P121" t="s">
        <v>609</v>
      </c>
      <c r="Q121" t="s">
        <v>610</v>
      </c>
      <c r="R121" t="s">
        <v>454</v>
      </c>
    </row>
    <row r="123" spans="15:18">
      <c r="O123" t="s">
        <v>412</v>
      </c>
      <c r="P123" t="s">
        <v>413</v>
      </c>
      <c r="Q123" t="s">
        <v>414</v>
      </c>
      <c r="R123" t="s">
        <v>415</v>
      </c>
    </row>
    <row r="124" spans="15:18">
      <c r="O124">
        <v>10</v>
      </c>
      <c r="P124" t="s">
        <v>611</v>
      </c>
      <c r="Q124" t="s">
        <v>612</v>
      </c>
      <c r="R124" t="s">
        <v>613</v>
      </c>
    </row>
    <row r="125" spans="15:18">
      <c r="O125">
        <v>11</v>
      </c>
      <c r="P125" t="s">
        <v>614</v>
      </c>
      <c r="Q125" t="s">
        <v>615</v>
      </c>
      <c r="R125" t="s">
        <v>616</v>
      </c>
    </row>
    <row r="126" spans="15:18">
      <c r="O126">
        <v>12</v>
      </c>
      <c r="P126" t="s">
        <v>617</v>
      </c>
      <c r="Q126" t="s">
        <v>618</v>
      </c>
      <c r="R126" t="s">
        <v>419</v>
      </c>
    </row>
    <row r="127" spans="15:18">
      <c r="O127">
        <v>13</v>
      </c>
      <c r="P127" t="s">
        <v>619</v>
      </c>
      <c r="Q127" t="s">
        <v>620</v>
      </c>
      <c r="R127" t="s">
        <v>419</v>
      </c>
    </row>
    <row r="128" spans="15:18">
      <c r="O128">
        <v>14</v>
      </c>
      <c r="P128" t="s">
        <v>621</v>
      </c>
      <c r="Q128" t="s">
        <v>622</v>
      </c>
      <c r="R128" t="s">
        <v>623</v>
      </c>
    </row>
    <row r="130" spans="15:18">
      <c r="O130" t="s">
        <v>412</v>
      </c>
      <c r="P130" t="s">
        <v>413</v>
      </c>
      <c r="Q130" t="s">
        <v>414</v>
      </c>
      <c r="R130" t="s">
        <v>415</v>
      </c>
    </row>
    <row r="131" spans="15:18">
      <c r="O131">
        <v>15</v>
      </c>
      <c r="P131" t="s">
        <v>624</v>
      </c>
      <c r="Q131" t="s">
        <v>625</v>
      </c>
      <c r="R131" t="s">
        <v>419</v>
      </c>
    </row>
    <row r="132" spans="15:18">
      <c r="O132">
        <v>16</v>
      </c>
      <c r="P132" t="s">
        <v>626</v>
      </c>
      <c r="Q132" t="s">
        <v>627</v>
      </c>
      <c r="R132" t="s">
        <v>419</v>
      </c>
    </row>
    <row r="133" spans="15:18">
      <c r="O133">
        <v>17</v>
      </c>
      <c r="P133" t="s">
        <v>628</v>
      </c>
      <c r="Q133" t="s">
        <v>629</v>
      </c>
      <c r="R133" t="s">
        <v>419</v>
      </c>
    </row>
    <row r="134" spans="15:18">
      <c r="O134">
        <v>18</v>
      </c>
      <c r="P134" t="s">
        <v>630</v>
      </c>
      <c r="Q134" t="s">
        <v>631</v>
      </c>
      <c r="R134" t="s">
        <v>490</v>
      </c>
    </row>
    <row r="135" spans="15:18">
      <c r="O135">
        <v>19</v>
      </c>
      <c r="P135" t="s">
        <v>632</v>
      </c>
      <c r="Q135" t="s">
        <v>633</v>
      </c>
      <c r="R135" t="s">
        <v>465</v>
      </c>
    </row>
    <row r="137" spans="15:18">
      <c r="O137" t="s">
        <v>412</v>
      </c>
      <c r="P137" t="s">
        <v>413</v>
      </c>
      <c r="Q137" t="s">
        <v>414</v>
      </c>
      <c r="R137" t="s">
        <v>634</v>
      </c>
    </row>
    <row r="138" spans="15:18">
      <c r="O138">
        <v>20</v>
      </c>
      <c r="P138" t="s">
        <v>635</v>
      </c>
      <c r="Q138" t="s">
        <v>636</v>
      </c>
      <c r="R138" t="s">
        <v>637</v>
      </c>
    </row>
    <row r="139" spans="15:18">
      <c r="O139">
        <v>21</v>
      </c>
      <c r="P139" t="s">
        <v>638</v>
      </c>
      <c r="Q139" t="s">
        <v>639</v>
      </c>
      <c r="R139" t="s">
        <v>640</v>
      </c>
    </row>
    <row r="140" spans="15:18">
      <c r="O140">
        <v>22</v>
      </c>
      <c r="P140" t="s">
        <v>641</v>
      </c>
      <c r="Q140" t="s">
        <v>642</v>
      </c>
      <c r="R140" t="s">
        <v>643</v>
      </c>
    </row>
    <row r="141" spans="15:18">
      <c r="O141">
        <v>23</v>
      </c>
      <c r="P141" t="s">
        <v>644</v>
      </c>
      <c r="Q141" t="s">
        <v>645</v>
      </c>
      <c r="R141" t="s">
        <v>646</v>
      </c>
    </row>
    <row r="142" spans="15:18">
      <c r="O142">
        <v>24</v>
      </c>
      <c r="P142" t="s">
        <v>647</v>
      </c>
      <c r="Q142" t="s">
        <v>648</v>
      </c>
      <c r="R142" t="s">
        <v>649</v>
      </c>
    </row>
    <row r="144" spans="15:18">
      <c r="O144" t="s">
        <v>412</v>
      </c>
      <c r="P144" t="s">
        <v>413</v>
      </c>
      <c r="Q144" t="s">
        <v>414</v>
      </c>
      <c r="R144" t="s">
        <v>415</v>
      </c>
    </row>
    <row r="145" spans="15:18">
      <c r="O145">
        <v>25</v>
      </c>
      <c r="P145" t="s">
        <v>650</v>
      </c>
      <c r="Q145" t="s">
        <v>651</v>
      </c>
      <c r="R145" t="s">
        <v>652</v>
      </c>
    </row>
    <row r="146" spans="15:18">
      <c r="O146">
        <v>26</v>
      </c>
      <c r="P146" t="s">
        <v>653</v>
      </c>
      <c r="Q146" t="s">
        <v>654</v>
      </c>
      <c r="R146" t="s">
        <v>419</v>
      </c>
    </row>
    <row r="147" spans="15:18">
      <c r="O147">
        <v>27</v>
      </c>
      <c r="P147" t="s">
        <v>655</v>
      </c>
      <c r="Q147" t="s">
        <v>656</v>
      </c>
      <c r="R147" t="s">
        <v>657</v>
      </c>
    </row>
    <row r="149" spans="15:18">
      <c r="O149" t="s">
        <v>412</v>
      </c>
      <c r="P149" t="s">
        <v>413</v>
      </c>
      <c r="Q149" t="s">
        <v>414</v>
      </c>
      <c r="R149" t="s">
        <v>92</v>
      </c>
    </row>
    <row r="150" spans="15:18">
      <c r="O150">
        <v>28</v>
      </c>
      <c r="P150" t="s">
        <v>420</v>
      </c>
      <c r="Q150" t="s">
        <v>658</v>
      </c>
      <c r="R150" t="s">
        <v>659</v>
      </c>
    </row>
    <row r="151" spans="15:18">
      <c r="O151">
        <v>29</v>
      </c>
      <c r="P151" t="s">
        <v>660</v>
      </c>
      <c r="Q151" t="s">
        <v>661</v>
      </c>
      <c r="R151" t="s">
        <v>662</v>
      </c>
    </row>
    <row r="152" spans="15:18">
      <c r="O152">
        <v>30</v>
      </c>
      <c r="P152" t="s">
        <v>663</v>
      </c>
      <c r="Q152" t="s">
        <v>664</v>
      </c>
      <c r="R152" t="s">
        <v>665</v>
      </c>
    </row>
  </sheetData>
  <mergeCells count="1">
    <mergeCell ref="A19:D1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73"/>
  <sheetViews>
    <sheetView topLeftCell="F10" workbookViewId="0">
      <selection activeCell="AC47" sqref="AC47"/>
    </sheetView>
  </sheetViews>
  <sheetFormatPr defaultColWidth="9" defaultRowHeight="14.4"/>
  <cols>
    <col min="1" max="4" width="9" style="2"/>
    <col min="5" max="5" width="86" customWidth="1"/>
    <col min="14" max="14" width="16" customWidth="1"/>
    <col min="15" max="20" width="10.6296296296296" style="2" customWidth="1"/>
    <col min="21" max="22" width="10.6296296296296" customWidth="1"/>
    <col min="23" max="34" width="10.6296296296296" style="2" customWidth="1"/>
  </cols>
  <sheetData>
    <row r="1" spans="1:5">
      <c r="A1" s="2" t="s">
        <v>126</v>
      </c>
      <c r="B1" s="2" t="s">
        <v>413</v>
      </c>
      <c r="C1" s="2" t="s">
        <v>294</v>
      </c>
      <c r="D1" s="2" t="s">
        <v>666</v>
      </c>
      <c r="E1" t="s">
        <v>92</v>
      </c>
    </row>
    <row r="4" spans="22:22">
      <c r="V4" s="2"/>
    </row>
    <row r="5" spans="22:22">
      <c r="V5" s="2"/>
    </row>
    <row r="6" spans="22:22">
      <c r="V6" s="2"/>
    </row>
    <row r="7" spans="22:22">
      <c r="V7" s="2"/>
    </row>
    <row r="8" spans="22:22">
      <c r="V8" s="2"/>
    </row>
    <row r="9" spans="22:22">
      <c r="V9" s="2"/>
    </row>
    <row r="10" spans="21:25">
      <c r="U10" t="s">
        <v>667</v>
      </c>
      <c r="V10" s="2" t="s">
        <v>668</v>
      </c>
      <c r="W10" s="2" t="s">
        <v>669</v>
      </c>
      <c r="Y10" s="2" t="s">
        <v>670</v>
      </c>
    </row>
    <row r="11" spans="22:22">
      <c r="V11" s="2"/>
    </row>
    <row r="12" spans="22:22">
      <c r="V12" s="2"/>
    </row>
    <row r="13" spans="22:22">
      <c r="V13" s="2"/>
    </row>
    <row r="14" spans="17:22">
      <c r="Q14" t="s">
        <v>671</v>
      </c>
      <c r="V14" s="2"/>
    </row>
    <row r="15" spans="17:22">
      <c r="Q15" t="s">
        <v>672</v>
      </c>
      <c r="V15" s="2"/>
    </row>
    <row r="16" spans="17:22">
      <c r="Q16" t="s">
        <v>673</v>
      </c>
      <c r="V16" s="2"/>
    </row>
    <row r="17" spans="17:22">
      <c r="Q17" t="s">
        <v>674</v>
      </c>
      <c r="R17" s="2">
        <v>1</v>
      </c>
      <c r="V17" s="2"/>
    </row>
    <row r="18" spans="17:22">
      <c r="Q18" t="s">
        <v>675</v>
      </c>
      <c r="R18" s="2">
        <v>2</v>
      </c>
      <c r="U18" t="s">
        <v>676</v>
      </c>
      <c r="V18" s="2"/>
    </row>
    <row r="19" spans="17:22">
      <c r="Q19" t="s">
        <v>677</v>
      </c>
      <c r="R19" s="2">
        <v>3</v>
      </c>
      <c r="U19" t="s">
        <v>126</v>
      </c>
      <c r="V19" s="2" t="s">
        <v>678</v>
      </c>
    </row>
    <row r="20" spans="21:22">
      <c r="U20" t="s">
        <v>679</v>
      </c>
      <c r="V20" s="2" t="s">
        <v>680</v>
      </c>
    </row>
    <row r="21" spans="21:22">
      <c r="U21" t="s">
        <v>681</v>
      </c>
      <c r="V21" s="2" t="s">
        <v>682</v>
      </c>
    </row>
    <row r="22" spans="1:22">
      <c r="A22" s="2" t="s">
        <v>683</v>
      </c>
      <c r="B22" s="2" t="s">
        <v>684</v>
      </c>
      <c r="C22" s="2" t="s">
        <v>685</v>
      </c>
      <c r="E22" t="s">
        <v>686</v>
      </c>
      <c r="U22" t="s">
        <v>687</v>
      </c>
      <c r="V22" s="2" t="s">
        <v>688</v>
      </c>
    </row>
    <row r="23" spans="1:22">
      <c r="A23" s="2" t="s">
        <v>683</v>
      </c>
      <c r="B23" s="2" t="s">
        <v>689</v>
      </c>
      <c r="C23" s="2" t="s">
        <v>685</v>
      </c>
      <c r="E23" t="s">
        <v>690</v>
      </c>
      <c r="J23" s="3"/>
      <c r="K23" s="3"/>
      <c r="L23" s="3"/>
      <c r="O23"/>
      <c r="P23"/>
      <c r="U23" t="s">
        <v>667</v>
      </c>
      <c r="V23" s="2" t="s">
        <v>691</v>
      </c>
    </row>
    <row r="24" spans="1:22">
      <c r="A24" s="2" t="s">
        <v>683</v>
      </c>
      <c r="B24" s="2" t="s">
        <v>692</v>
      </c>
      <c r="C24" s="2" t="s">
        <v>685</v>
      </c>
      <c r="E24" t="s">
        <v>693</v>
      </c>
      <c r="J24" s="3"/>
      <c r="K24" s="3"/>
      <c r="L24" s="3"/>
      <c r="O24"/>
      <c r="P24"/>
      <c r="U24" t="s">
        <v>694</v>
      </c>
      <c r="V24" s="2" t="s">
        <v>695</v>
      </c>
    </row>
    <row r="25" ht="15.6" spans="1:22">
      <c r="A25" s="2" t="s">
        <v>683</v>
      </c>
      <c r="B25" s="2" t="s">
        <v>696</v>
      </c>
      <c r="C25" s="2" t="s">
        <v>685</v>
      </c>
      <c r="E25" t="s">
        <v>697</v>
      </c>
      <c r="J25" s="3"/>
      <c r="K25" s="3"/>
      <c r="L25" s="3"/>
      <c r="O25"/>
      <c r="P25"/>
      <c r="V25" s="2"/>
    </row>
    <row r="26" spans="1:16">
      <c r="A26" s="2" t="s">
        <v>683</v>
      </c>
      <c r="B26" s="2" t="s">
        <v>698</v>
      </c>
      <c r="C26" s="2" t="s">
        <v>685</v>
      </c>
      <c r="E26" t="s">
        <v>699</v>
      </c>
      <c r="J26" s="3"/>
      <c r="K26" s="3"/>
      <c r="L26" s="3"/>
      <c r="O26"/>
      <c r="P26"/>
    </row>
    <row r="27" spans="1:16">
      <c r="A27" s="2" t="s">
        <v>683</v>
      </c>
      <c r="B27" s="2" t="s">
        <v>422</v>
      </c>
      <c r="C27" s="2" t="s">
        <v>685</v>
      </c>
      <c r="E27" t="s">
        <v>700</v>
      </c>
      <c r="J27" s="3"/>
      <c r="K27" s="3"/>
      <c r="L27" s="3"/>
      <c r="O27"/>
      <c r="P27"/>
    </row>
    <row r="28" spans="1:32">
      <c r="A28" s="2" t="s">
        <v>683</v>
      </c>
      <c r="B28" s="2" t="s">
        <v>701</v>
      </c>
      <c r="C28" s="2" t="s">
        <v>685</v>
      </c>
      <c r="E28" t="s">
        <v>702</v>
      </c>
      <c r="J28" s="3"/>
      <c r="K28" s="3"/>
      <c r="L28" s="3"/>
      <c r="O28" t="s">
        <v>703</v>
      </c>
      <c r="P28"/>
      <c r="Q28" s="4" t="s">
        <v>704</v>
      </c>
      <c r="R28" s="4"/>
      <c r="S28" s="4"/>
      <c r="T28" s="4"/>
      <c r="U28" s="4"/>
      <c r="V28" s="4"/>
      <c r="W28" s="2" t="s">
        <v>705</v>
      </c>
      <c r="Z28" s="7" t="s">
        <v>683</v>
      </c>
      <c r="AA28" s="7"/>
      <c r="AB28" s="7"/>
      <c r="AC28" s="2" t="s">
        <v>706</v>
      </c>
      <c r="AF28" s="2" t="s">
        <v>707</v>
      </c>
    </row>
    <row r="29" spans="1:34">
      <c r="A29" s="2" t="s">
        <v>683</v>
      </c>
      <c r="B29" s="2" t="s">
        <v>463</v>
      </c>
      <c r="C29" s="2" t="s">
        <v>685</v>
      </c>
      <c r="E29" t="s">
        <v>708</v>
      </c>
      <c r="J29" s="3"/>
      <c r="K29" s="3"/>
      <c r="L29" s="3"/>
      <c r="O29">
        <v>4</v>
      </c>
      <c r="P29" s="2" t="s">
        <v>301</v>
      </c>
      <c r="Q29" s="4" t="s">
        <v>5</v>
      </c>
      <c r="R29" s="4" t="s">
        <v>6</v>
      </c>
      <c r="S29" s="4" t="s">
        <v>7</v>
      </c>
      <c r="T29" s="4" t="s">
        <v>10</v>
      </c>
      <c r="U29" s="4" t="s">
        <v>8</v>
      </c>
      <c r="V29" s="4" t="s">
        <v>9</v>
      </c>
      <c r="W29" s="2" t="s">
        <v>709</v>
      </c>
      <c r="X29" s="2" t="s">
        <v>710</v>
      </c>
      <c r="Y29" s="2" t="s">
        <v>711</v>
      </c>
      <c r="Z29" s="2" t="s">
        <v>709</v>
      </c>
      <c r="AA29" s="2" t="s">
        <v>710</v>
      </c>
      <c r="AB29" s="2" t="s">
        <v>711</v>
      </c>
      <c r="AC29" s="2" t="s">
        <v>709</v>
      </c>
      <c r="AD29" s="2" t="s">
        <v>710</v>
      </c>
      <c r="AE29" s="2" t="s">
        <v>711</v>
      </c>
      <c r="AF29" s="2" t="s">
        <v>709</v>
      </c>
      <c r="AG29" s="2" t="s">
        <v>710</v>
      </c>
      <c r="AH29" s="2" t="s">
        <v>711</v>
      </c>
    </row>
    <row r="30" spans="1:22">
      <c r="A30" s="2" t="s">
        <v>683</v>
      </c>
      <c r="B30" s="2" t="s">
        <v>683</v>
      </c>
      <c r="C30" s="2" t="s">
        <v>685</v>
      </c>
      <c r="E30" t="s">
        <v>712</v>
      </c>
      <c r="J30" s="3"/>
      <c r="K30" s="3"/>
      <c r="L30" s="3"/>
      <c r="O30"/>
      <c r="P30" s="4"/>
      <c r="Q30" s="4" t="s">
        <v>713</v>
      </c>
      <c r="R30" s="4" t="s">
        <v>713</v>
      </c>
      <c r="S30" s="4" t="s">
        <v>713</v>
      </c>
      <c r="T30" s="4" t="s">
        <v>713</v>
      </c>
      <c r="U30" s="4" t="s">
        <v>713</v>
      </c>
      <c r="V30" s="4" t="s">
        <v>713</v>
      </c>
    </row>
    <row r="31" spans="1:22">
      <c r="A31" s="2" t="s">
        <v>683</v>
      </c>
      <c r="B31" s="2" t="s">
        <v>714</v>
      </c>
      <c r="C31" s="2" t="s">
        <v>685</v>
      </c>
      <c r="E31" t="s">
        <v>715</v>
      </c>
      <c r="J31" s="3"/>
      <c r="K31" s="3"/>
      <c r="L31" s="3"/>
      <c r="O31"/>
      <c r="P31" s="4"/>
      <c r="Q31" s="4" t="s">
        <v>716</v>
      </c>
      <c r="R31" s="4" t="s">
        <v>716</v>
      </c>
      <c r="S31" s="4" t="s">
        <v>716</v>
      </c>
      <c r="T31" s="4" t="s">
        <v>716</v>
      </c>
      <c r="U31" s="4" t="s">
        <v>716</v>
      </c>
      <c r="V31" s="4" t="s">
        <v>716</v>
      </c>
    </row>
    <row r="32" spans="1:24">
      <c r="A32" s="2" t="s">
        <v>683</v>
      </c>
      <c r="B32" s="2" t="s">
        <v>717</v>
      </c>
      <c r="C32" s="2" t="s">
        <v>718</v>
      </c>
      <c r="D32" s="2" t="s">
        <v>719</v>
      </c>
      <c r="E32" t="s">
        <v>720</v>
      </c>
      <c r="I32" s="3"/>
      <c r="J32" s="3"/>
      <c r="K32" s="3"/>
      <c r="L32" s="3"/>
      <c r="O32"/>
      <c r="P32" s="4"/>
      <c r="Q32" s="4"/>
      <c r="R32" s="4"/>
      <c r="S32" s="4"/>
      <c r="T32" s="4"/>
      <c r="U32" s="4"/>
      <c r="V32" s="4"/>
      <c r="W32" s="4"/>
      <c r="X32" s="4"/>
    </row>
    <row r="33" spans="1:34">
      <c r="A33" s="2" t="s">
        <v>683</v>
      </c>
      <c r="B33" s="2" t="s">
        <v>721</v>
      </c>
      <c r="C33" s="2" t="s">
        <v>718</v>
      </c>
      <c r="D33" s="2" t="s">
        <v>719</v>
      </c>
      <c r="E33" t="s">
        <v>722</v>
      </c>
      <c r="I33" s="3"/>
      <c r="J33" s="3"/>
      <c r="K33" s="3"/>
      <c r="L33" s="3"/>
      <c r="O33">
        <v>4</v>
      </c>
      <c r="P33" s="2" t="s">
        <v>305</v>
      </c>
      <c r="Q33" s="4" t="s">
        <v>12</v>
      </c>
      <c r="R33" s="4" t="s">
        <v>13</v>
      </c>
      <c r="S33" s="4" t="s">
        <v>14</v>
      </c>
      <c r="T33" s="4" t="s">
        <v>17</v>
      </c>
      <c r="U33" s="4" t="s">
        <v>15</v>
      </c>
      <c r="V33" s="4" t="s">
        <v>16</v>
      </c>
      <c r="W33" s="2" t="s">
        <v>77</v>
      </c>
      <c r="X33" s="4" t="s">
        <v>36</v>
      </c>
      <c r="Y33" s="4" t="s">
        <v>32</v>
      </c>
      <c r="Z33" s="2" t="s">
        <v>723</v>
      </c>
      <c r="AA33" s="2" t="s">
        <v>77</v>
      </c>
      <c r="AB33" s="2" t="s">
        <v>30</v>
      </c>
      <c r="AC33" s="2" t="s">
        <v>724</v>
      </c>
      <c r="AD33" s="2" t="s">
        <v>14</v>
      </c>
      <c r="AE33" s="2" t="s">
        <v>205</v>
      </c>
      <c r="AF33" s="2" t="s">
        <v>62</v>
      </c>
      <c r="AG33" s="2" t="s">
        <v>69</v>
      </c>
      <c r="AH33" s="2" t="s">
        <v>33</v>
      </c>
    </row>
    <row r="34" spans="1:34">
      <c r="A34" s="2" t="s">
        <v>683</v>
      </c>
      <c r="B34" s="2" t="s">
        <v>725</v>
      </c>
      <c r="C34" s="2" t="s">
        <v>718</v>
      </c>
      <c r="D34" s="2" t="s">
        <v>719</v>
      </c>
      <c r="E34" t="s">
        <v>726</v>
      </c>
      <c r="J34" s="3"/>
      <c r="K34" s="3"/>
      <c r="L34" s="3"/>
      <c r="O34"/>
      <c r="P34" s="4"/>
      <c r="Q34" s="4" t="s">
        <v>713</v>
      </c>
      <c r="R34" s="4" t="s">
        <v>713</v>
      </c>
      <c r="S34" s="4" t="s">
        <v>713</v>
      </c>
      <c r="T34" s="4" t="s">
        <v>713</v>
      </c>
      <c r="U34" s="4" t="s">
        <v>713</v>
      </c>
      <c r="V34" s="4" t="s">
        <v>713</v>
      </c>
      <c r="W34" s="2" t="s">
        <v>713</v>
      </c>
      <c r="X34" s="4" t="s">
        <v>713</v>
      </c>
      <c r="Y34" s="4" t="s">
        <v>713</v>
      </c>
      <c r="Z34" s="2" t="s">
        <v>713</v>
      </c>
      <c r="AA34" s="2" t="s">
        <v>713</v>
      </c>
      <c r="AB34" s="2" t="s">
        <v>713</v>
      </c>
      <c r="AC34" s="2" t="s">
        <v>713</v>
      </c>
      <c r="AD34" s="2" t="s">
        <v>713</v>
      </c>
      <c r="AE34" s="2" t="s">
        <v>713</v>
      </c>
      <c r="AF34" s="2" t="s">
        <v>713</v>
      </c>
      <c r="AG34" s="2" t="s">
        <v>713</v>
      </c>
      <c r="AH34" s="2" t="s">
        <v>713</v>
      </c>
    </row>
    <row r="35" spans="1:34">
      <c r="A35" s="2" t="s">
        <v>683</v>
      </c>
      <c r="B35" s="2" t="s">
        <v>727</v>
      </c>
      <c r="C35" s="2" t="s">
        <v>718</v>
      </c>
      <c r="D35" s="2" t="s">
        <v>719</v>
      </c>
      <c r="E35" t="s">
        <v>728</v>
      </c>
      <c r="J35" s="3"/>
      <c r="K35" s="3"/>
      <c r="L35" s="3"/>
      <c r="O35"/>
      <c r="P35" s="4"/>
      <c r="Q35" s="4" t="s">
        <v>729</v>
      </c>
      <c r="R35" s="4" t="s">
        <v>729</v>
      </c>
      <c r="S35" s="4" t="s">
        <v>729</v>
      </c>
      <c r="T35" s="4" t="s">
        <v>729</v>
      </c>
      <c r="U35" s="4" t="s">
        <v>729</v>
      </c>
      <c r="V35" s="4" t="s">
        <v>729</v>
      </c>
      <c r="W35" s="2" t="s">
        <v>730</v>
      </c>
      <c r="X35" s="4" t="s">
        <v>731</v>
      </c>
      <c r="Y35" s="4" t="s">
        <v>731</v>
      </c>
      <c r="Z35" s="2" t="s">
        <v>732</v>
      </c>
      <c r="AA35" s="2" t="s">
        <v>730</v>
      </c>
      <c r="AB35" s="2" t="s">
        <v>733</v>
      </c>
      <c r="AC35" s="2" t="s">
        <v>734</v>
      </c>
      <c r="AD35" s="2" t="s">
        <v>733</v>
      </c>
      <c r="AE35" s="2" t="s">
        <v>733</v>
      </c>
      <c r="AF35" s="2" t="s">
        <v>733</v>
      </c>
      <c r="AG35" s="2" t="s">
        <v>733</v>
      </c>
      <c r="AH35" s="2" t="s">
        <v>735</v>
      </c>
    </row>
    <row r="36" spans="1:23">
      <c r="A36" s="2" t="s">
        <v>683</v>
      </c>
      <c r="B36" s="2" t="s">
        <v>736</v>
      </c>
      <c r="C36" s="2" t="s">
        <v>718</v>
      </c>
      <c r="D36" s="2" t="s">
        <v>737</v>
      </c>
      <c r="E36" t="s">
        <v>738</v>
      </c>
      <c r="J36" s="3"/>
      <c r="K36" s="3"/>
      <c r="L36" s="3"/>
      <c r="O36"/>
      <c r="P36" s="4"/>
      <c r="Q36" s="4"/>
      <c r="R36" s="4"/>
      <c r="S36" s="4"/>
      <c r="T36" s="4"/>
      <c r="U36" s="4"/>
      <c r="V36" s="4"/>
      <c r="W36" s="4"/>
    </row>
    <row r="37" spans="1:33">
      <c r="A37" s="2" t="s">
        <v>683</v>
      </c>
      <c r="B37" s="2" t="s">
        <v>739</v>
      </c>
      <c r="C37" s="2" t="s">
        <v>718</v>
      </c>
      <c r="D37" s="2" t="s">
        <v>719</v>
      </c>
      <c r="E37" t="s">
        <v>740</v>
      </c>
      <c r="J37" s="3"/>
      <c r="K37" s="3"/>
      <c r="L37" s="3"/>
      <c r="O37">
        <v>4</v>
      </c>
      <c r="P37" s="2" t="s">
        <v>310</v>
      </c>
      <c r="Q37" s="4" t="s">
        <v>741</v>
      </c>
      <c r="R37" s="4" t="s">
        <v>63</v>
      </c>
      <c r="S37" s="4" t="s">
        <v>64</v>
      </c>
      <c r="T37" s="4" t="s">
        <v>742</v>
      </c>
      <c r="U37" s="4" t="s">
        <v>743</v>
      </c>
      <c r="V37" s="4"/>
      <c r="W37" s="2" t="s">
        <v>709</v>
      </c>
      <c r="X37" s="2" t="s">
        <v>710</v>
      </c>
      <c r="Z37" s="2" t="s">
        <v>709</v>
      </c>
      <c r="AA37" s="2" t="s">
        <v>710</v>
      </c>
      <c r="AC37" s="2" t="s">
        <v>709</v>
      </c>
      <c r="AD37" s="2" t="s">
        <v>710</v>
      </c>
      <c r="AF37" s="2" t="s">
        <v>709</v>
      </c>
      <c r="AG37" s="2" t="s">
        <v>710</v>
      </c>
    </row>
    <row r="38" spans="1:22">
      <c r="A38" s="2" t="s">
        <v>683</v>
      </c>
      <c r="B38" s="2" t="s">
        <v>744</v>
      </c>
      <c r="C38" s="2" t="s">
        <v>718</v>
      </c>
      <c r="D38" s="2" t="s">
        <v>745</v>
      </c>
      <c r="E38" t="s">
        <v>746</v>
      </c>
      <c r="J38" s="3"/>
      <c r="K38" s="3"/>
      <c r="L38" s="3"/>
      <c r="O38"/>
      <c r="P38" s="4"/>
      <c r="Q38" s="4" t="s">
        <v>713</v>
      </c>
      <c r="R38" s="4" t="s">
        <v>713</v>
      </c>
      <c r="S38" s="4" t="s">
        <v>713</v>
      </c>
      <c r="T38" s="4" t="s">
        <v>713</v>
      </c>
      <c r="U38" s="4" t="s">
        <v>713</v>
      </c>
      <c r="V38" s="4"/>
    </row>
    <row r="39" spans="1:22">
      <c r="A39" s="2" t="s">
        <v>683</v>
      </c>
      <c r="B39" s="2" t="s">
        <v>747</v>
      </c>
      <c r="C39" s="2" t="s">
        <v>718</v>
      </c>
      <c r="D39" s="2" t="s">
        <v>748</v>
      </c>
      <c r="E39" t="s">
        <v>749</v>
      </c>
      <c r="J39" s="3"/>
      <c r="K39" s="3"/>
      <c r="L39" s="3"/>
      <c r="O39"/>
      <c r="P39" s="4"/>
      <c r="Q39" s="4" t="s">
        <v>750</v>
      </c>
      <c r="R39" s="4" t="s">
        <v>733</v>
      </c>
      <c r="S39" s="4" t="s">
        <v>733</v>
      </c>
      <c r="T39" s="4" t="s">
        <v>733</v>
      </c>
      <c r="U39" s="4" t="s">
        <v>733</v>
      </c>
      <c r="V39" s="4"/>
    </row>
    <row r="40" spans="1:22">
      <c r="A40" s="2" t="s">
        <v>683</v>
      </c>
      <c r="B40" s="2" t="s">
        <v>751</v>
      </c>
      <c r="C40" s="2" t="s">
        <v>718</v>
      </c>
      <c r="D40" s="2" t="s">
        <v>719</v>
      </c>
      <c r="E40" t="s">
        <v>752</v>
      </c>
      <c r="J40" s="3"/>
      <c r="K40" s="3"/>
      <c r="L40" s="3"/>
      <c r="O40"/>
      <c r="P40" s="4"/>
      <c r="V40" s="4"/>
    </row>
    <row r="41" spans="1:33">
      <c r="A41" s="2" t="s">
        <v>683</v>
      </c>
      <c r="B41" s="2" t="s">
        <v>753</v>
      </c>
      <c r="C41" s="2" t="s">
        <v>718</v>
      </c>
      <c r="D41" s="2" t="s">
        <v>719</v>
      </c>
      <c r="E41" t="s">
        <v>754</v>
      </c>
      <c r="K41" s="3"/>
      <c r="L41" s="3"/>
      <c r="O41">
        <v>4</v>
      </c>
      <c r="P41" s="2" t="s">
        <v>315</v>
      </c>
      <c r="Q41" s="2" t="s">
        <v>755</v>
      </c>
      <c r="R41" s="2" t="s">
        <v>62</v>
      </c>
      <c r="S41" s="2" t="s">
        <v>45</v>
      </c>
      <c r="T41" s="2" t="s">
        <v>30</v>
      </c>
      <c r="V41" s="4"/>
      <c r="X41" s="2" t="s">
        <v>756</v>
      </c>
      <c r="AA41" s="2" t="s">
        <v>755</v>
      </c>
      <c r="AD41" s="2" t="s">
        <v>50</v>
      </c>
      <c r="AG41" s="2" t="s">
        <v>78</v>
      </c>
    </row>
    <row r="42" spans="1:33">
      <c r="A42" s="2" t="s">
        <v>683</v>
      </c>
      <c r="B42" s="2" t="s">
        <v>714</v>
      </c>
      <c r="C42" s="2" t="s">
        <v>757</v>
      </c>
      <c r="D42" s="2" t="s">
        <v>719</v>
      </c>
      <c r="E42" t="s">
        <v>758</v>
      </c>
      <c r="K42" s="3"/>
      <c r="L42" s="3"/>
      <c r="O42"/>
      <c r="P42" s="4"/>
      <c r="Q42" s="4" t="s">
        <v>713</v>
      </c>
      <c r="R42" s="4" t="s">
        <v>713</v>
      </c>
      <c r="S42" s="4" t="s">
        <v>713</v>
      </c>
      <c r="T42" s="4" t="s">
        <v>713</v>
      </c>
      <c r="U42" s="4"/>
      <c r="V42" s="4"/>
      <c r="X42" s="2" t="s">
        <v>713</v>
      </c>
      <c r="AA42" s="4" t="s">
        <v>713</v>
      </c>
      <c r="AD42" s="2" t="s">
        <v>713</v>
      </c>
      <c r="AG42" s="2" t="s">
        <v>713</v>
      </c>
    </row>
    <row r="43" spans="1:33">
      <c r="A43" s="2" t="s">
        <v>683</v>
      </c>
      <c r="B43" s="2" t="s">
        <v>759</v>
      </c>
      <c r="C43" s="2" t="s">
        <v>757</v>
      </c>
      <c r="D43" s="2" t="s">
        <v>760</v>
      </c>
      <c r="E43" t="s">
        <v>761</v>
      </c>
      <c r="O43" s="4"/>
      <c r="P43" s="4"/>
      <c r="Q43" s="4" t="s">
        <v>733</v>
      </c>
      <c r="R43" s="4" t="s">
        <v>733</v>
      </c>
      <c r="S43" s="4" t="s">
        <v>730</v>
      </c>
      <c r="T43" s="4" t="s">
        <v>733</v>
      </c>
      <c r="U43" s="4"/>
      <c r="V43" s="4"/>
      <c r="X43" s="2" t="s">
        <v>732</v>
      </c>
      <c r="AA43" s="4" t="s">
        <v>733</v>
      </c>
      <c r="AD43" s="2" t="s">
        <v>733</v>
      </c>
      <c r="AG43" s="2" t="s">
        <v>733</v>
      </c>
    </row>
    <row r="44" spans="1:22">
      <c r="A44" s="2" t="s">
        <v>683</v>
      </c>
      <c r="B44" s="2" t="s">
        <v>762</v>
      </c>
      <c r="C44" s="2" t="s">
        <v>757</v>
      </c>
      <c r="D44" s="2" t="s">
        <v>719</v>
      </c>
      <c r="E44" t="s">
        <v>763</v>
      </c>
      <c r="O44" s="4"/>
      <c r="P44" s="4"/>
      <c r="Q44" s="4"/>
      <c r="R44" s="4"/>
      <c r="S44" s="4"/>
      <c r="T44" s="4"/>
      <c r="U44" s="4"/>
      <c r="V44" s="4"/>
    </row>
    <row r="45" spans="1:34">
      <c r="A45" s="2" t="s">
        <v>683</v>
      </c>
      <c r="B45" s="2" t="s">
        <v>764</v>
      </c>
      <c r="C45" s="2" t="s">
        <v>757</v>
      </c>
      <c r="D45" s="2" t="s">
        <v>760</v>
      </c>
      <c r="E45" t="s">
        <v>765</v>
      </c>
      <c r="O45" s="5">
        <v>4</v>
      </c>
      <c r="P45" s="2" t="s">
        <v>766</v>
      </c>
      <c r="Q45" s="2" t="s">
        <v>19</v>
      </c>
      <c r="R45" s="4" t="s">
        <v>20</v>
      </c>
      <c r="S45" s="4" t="s">
        <v>21</v>
      </c>
      <c r="T45" s="4" t="s">
        <v>24</v>
      </c>
      <c r="U45" s="4" t="s">
        <v>22</v>
      </c>
      <c r="V45" s="4" t="s">
        <v>23</v>
      </c>
      <c r="X45" s="2" t="s">
        <v>24</v>
      </c>
      <c r="Z45" s="2" t="s">
        <v>45</v>
      </c>
      <c r="AA45" s="2" t="s">
        <v>24</v>
      </c>
      <c r="AC45" s="2" t="s">
        <v>76</v>
      </c>
      <c r="AD45" s="2" t="s">
        <v>12</v>
      </c>
      <c r="AE45" s="2" t="s">
        <v>63</v>
      </c>
      <c r="AF45" s="2" t="s">
        <v>24</v>
      </c>
      <c r="AG45" s="2" t="s">
        <v>16</v>
      </c>
      <c r="AH45" s="2" t="s">
        <v>17</v>
      </c>
    </row>
    <row r="46" spans="1:34">
      <c r="A46" s="2" t="s">
        <v>683</v>
      </c>
      <c r="B46" s="2" t="s">
        <v>767</v>
      </c>
      <c r="C46" s="2" t="s">
        <v>757</v>
      </c>
      <c r="D46" s="2" t="s">
        <v>737</v>
      </c>
      <c r="E46" t="s">
        <v>768</v>
      </c>
      <c r="O46" s="4"/>
      <c r="P46" s="4"/>
      <c r="Q46" s="4" t="s">
        <v>713</v>
      </c>
      <c r="R46" s="4" t="s">
        <v>713</v>
      </c>
      <c r="S46" s="4" t="s">
        <v>713</v>
      </c>
      <c r="T46" s="4" t="s">
        <v>713</v>
      </c>
      <c r="U46" s="4" t="s">
        <v>713</v>
      </c>
      <c r="V46" s="4" t="s">
        <v>713</v>
      </c>
      <c r="X46" s="2" t="s">
        <v>713</v>
      </c>
      <c r="Z46" s="2" t="s">
        <v>713</v>
      </c>
      <c r="AA46" s="2" t="s">
        <v>713</v>
      </c>
      <c r="AC46" s="2" t="s">
        <v>713</v>
      </c>
      <c r="AD46" s="2" t="s">
        <v>713</v>
      </c>
      <c r="AE46" s="2" t="s">
        <v>713</v>
      </c>
      <c r="AF46" s="2" t="s">
        <v>713</v>
      </c>
      <c r="AG46" s="2" t="s">
        <v>713</v>
      </c>
      <c r="AH46" s="2" t="s">
        <v>713</v>
      </c>
    </row>
    <row r="47" spans="1:34">
      <c r="A47" s="2" t="s">
        <v>683</v>
      </c>
      <c r="B47" s="2" t="s">
        <v>769</v>
      </c>
      <c r="C47" s="2" t="s">
        <v>757</v>
      </c>
      <c r="D47" s="2" t="s">
        <v>719</v>
      </c>
      <c r="E47" t="s">
        <v>770</v>
      </c>
      <c r="O47" s="4"/>
      <c r="P47" s="4"/>
      <c r="Q47" s="4" t="s">
        <v>771</v>
      </c>
      <c r="R47" s="4" t="s">
        <v>771</v>
      </c>
      <c r="S47" s="4" t="s">
        <v>771</v>
      </c>
      <c r="T47" s="4" t="s">
        <v>771</v>
      </c>
      <c r="U47" s="4" t="s">
        <v>771</v>
      </c>
      <c r="V47" s="4" t="s">
        <v>771</v>
      </c>
      <c r="X47" s="2" t="s">
        <v>772</v>
      </c>
      <c r="Z47" s="2" t="s">
        <v>733</v>
      </c>
      <c r="AA47" s="2" t="s">
        <v>772</v>
      </c>
      <c r="AC47" s="2" t="s">
        <v>732</v>
      </c>
      <c r="AD47" s="2" t="s">
        <v>732</v>
      </c>
      <c r="AE47" s="2" t="s">
        <v>733</v>
      </c>
      <c r="AF47" s="2" t="s">
        <v>772</v>
      </c>
      <c r="AG47" s="2" t="s">
        <v>732</v>
      </c>
      <c r="AH47" s="2" t="s">
        <v>772</v>
      </c>
    </row>
    <row r="48" spans="1:16">
      <c r="A48" s="2" t="s">
        <v>683</v>
      </c>
      <c r="B48" s="2" t="s">
        <v>773</v>
      </c>
      <c r="C48" s="2" t="s">
        <v>757</v>
      </c>
      <c r="D48" s="2" t="s">
        <v>774</v>
      </c>
      <c r="E48" t="s">
        <v>775</v>
      </c>
      <c r="O48"/>
      <c r="P48" s="4"/>
    </row>
    <row r="49" spans="1:34">
      <c r="A49" s="2" t="s">
        <v>683</v>
      </c>
      <c r="B49" s="2" t="s">
        <v>776</v>
      </c>
      <c r="C49" s="2" t="s">
        <v>757</v>
      </c>
      <c r="D49" s="2" t="s">
        <v>719</v>
      </c>
      <c r="E49" t="s">
        <v>777</v>
      </c>
      <c r="O49">
        <v>6</v>
      </c>
      <c r="P49" s="2" t="s">
        <v>778</v>
      </c>
      <c r="Q49" s="2" t="s">
        <v>279</v>
      </c>
      <c r="R49" s="2" t="s">
        <v>284</v>
      </c>
      <c r="S49" s="2" t="s">
        <v>275</v>
      </c>
      <c r="T49" s="2" t="s">
        <v>264</v>
      </c>
      <c r="U49" s="2" t="s">
        <v>69</v>
      </c>
      <c r="W49" s="2" t="s">
        <v>709</v>
      </c>
      <c r="X49" s="2" t="s">
        <v>710</v>
      </c>
      <c r="Y49" s="2" t="s">
        <v>711</v>
      </c>
      <c r="Z49" s="2" t="s">
        <v>709</v>
      </c>
      <c r="AA49" s="2" t="s">
        <v>710</v>
      </c>
      <c r="AB49" s="2" t="s">
        <v>711</v>
      </c>
      <c r="AC49" s="2" t="s">
        <v>709</v>
      </c>
      <c r="AD49" s="2" t="s">
        <v>710</v>
      </c>
      <c r="AE49" s="2" t="s">
        <v>711</v>
      </c>
      <c r="AF49" s="2" t="s">
        <v>709</v>
      </c>
      <c r="AG49" s="2" t="s">
        <v>710</v>
      </c>
      <c r="AH49" s="2" t="s">
        <v>711</v>
      </c>
    </row>
    <row r="50" spans="1:22">
      <c r="A50" s="2" t="s">
        <v>683</v>
      </c>
      <c r="B50" s="2" t="s">
        <v>779</v>
      </c>
      <c r="C50" s="2" t="s">
        <v>757</v>
      </c>
      <c r="D50" s="2" t="s">
        <v>719</v>
      </c>
      <c r="E50" t="s">
        <v>780</v>
      </c>
      <c r="O50"/>
      <c r="P50" s="4"/>
      <c r="Q50" s="4" t="s">
        <v>713</v>
      </c>
      <c r="R50" s="4" t="s">
        <v>713</v>
      </c>
      <c r="S50" s="4" t="s">
        <v>713</v>
      </c>
      <c r="T50" s="4" t="s">
        <v>713</v>
      </c>
      <c r="U50" s="2" t="s">
        <v>713</v>
      </c>
      <c r="V50" s="4"/>
    </row>
    <row r="51" spans="1:21">
      <c r="A51" s="2" t="s">
        <v>683</v>
      </c>
      <c r="B51" s="2" t="s">
        <v>781</v>
      </c>
      <c r="C51" s="2" t="s">
        <v>757</v>
      </c>
      <c r="D51" s="2" t="s">
        <v>760</v>
      </c>
      <c r="E51" t="s">
        <v>782</v>
      </c>
      <c r="O51"/>
      <c r="P51" s="4"/>
      <c r="Q51" s="4" t="s">
        <v>733</v>
      </c>
      <c r="R51" s="4" t="s">
        <v>733</v>
      </c>
      <c r="S51" s="4" t="s">
        <v>733</v>
      </c>
      <c r="T51" s="4" t="s">
        <v>733</v>
      </c>
      <c r="U51" s="2" t="s">
        <v>733</v>
      </c>
    </row>
    <row r="52" spans="1:16">
      <c r="A52" s="2" t="s">
        <v>706</v>
      </c>
      <c r="B52" s="2" t="s">
        <v>783</v>
      </c>
      <c r="C52" s="2" t="s">
        <v>685</v>
      </c>
      <c r="E52" t="s">
        <v>784</v>
      </c>
      <c r="O52"/>
      <c r="P52" s="4"/>
    </row>
    <row r="53" spans="1:34">
      <c r="A53" s="2" t="s">
        <v>706</v>
      </c>
      <c r="B53" s="2" t="s">
        <v>785</v>
      </c>
      <c r="C53" s="2" t="s">
        <v>685</v>
      </c>
      <c r="E53" t="s">
        <v>786</v>
      </c>
      <c r="O53">
        <v>6</v>
      </c>
      <c r="P53" s="2" t="s">
        <v>787</v>
      </c>
      <c r="Q53" s="4" t="s">
        <v>5</v>
      </c>
      <c r="R53" s="4" t="s">
        <v>6</v>
      </c>
      <c r="S53" s="4" t="s">
        <v>7</v>
      </c>
      <c r="T53" s="4" t="s">
        <v>10</v>
      </c>
      <c r="U53" s="4" t="s">
        <v>8</v>
      </c>
      <c r="V53" s="4" t="s">
        <v>9</v>
      </c>
      <c r="W53" s="2" t="s">
        <v>32</v>
      </c>
      <c r="X53" s="2" t="s">
        <v>41</v>
      </c>
      <c r="Z53" s="2" t="s">
        <v>723</v>
      </c>
      <c r="AA53" s="2" t="s">
        <v>30</v>
      </c>
      <c r="AB53" s="2" t="s">
        <v>788</v>
      </c>
      <c r="AC53" s="2" t="s">
        <v>54</v>
      </c>
      <c r="AD53" s="2" t="s">
        <v>19</v>
      </c>
      <c r="AE53" s="2" t="s">
        <v>789</v>
      </c>
      <c r="AF53" s="2" t="s">
        <v>62</v>
      </c>
      <c r="AG53" s="2" t="s">
        <v>23</v>
      </c>
      <c r="AH53" s="2" t="s">
        <v>33</v>
      </c>
    </row>
    <row r="54" spans="1:33">
      <c r="A54" s="2" t="s">
        <v>706</v>
      </c>
      <c r="B54" s="2" t="s">
        <v>706</v>
      </c>
      <c r="C54" s="2" t="s">
        <v>685</v>
      </c>
      <c r="E54" t="s">
        <v>790</v>
      </c>
      <c r="G54" s="3"/>
      <c r="H54" s="3"/>
      <c r="I54" s="3"/>
      <c r="J54" s="3"/>
      <c r="O54"/>
      <c r="P54" s="4"/>
      <c r="Q54" s="4" t="s">
        <v>791</v>
      </c>
      <c r="R54" s="4" t="s">
        <v>791</v>
      </c>
      <c r="S54" s="4" t="s">
        <v>791</v>
      </c>
      <c r="T54" s="4" t="s">
        <v>791</v>
      </c>
      <c r="U54" s="4" t="s">
        <v>791</v>
      </c>
      <c r="V54" s="4" t="s">
        <v>791</v>
      </c>
      <c r="W54" s="2" t="s">
        <v>791</v>
      </c>
      <c r="X54" s="2" t="s">
        <v>713</v>
      </c>
      <c r="Z54" s="2" t="s">
        <v>713</v>
      </c>
      <c r="AA54" s="2" t="s">
        <v>713</v>
      </c>
      <c r="AB54" s="2" t="s">
        <v>791</v>
      </c>
      <c r="AC54" s="2" t="s">
        <v>713</v>
      </c>
      <c r="AD54" s="2" t="s">
        <v>791</v>
      </c>
      <c r="AE54" s="2" t="s">
        <v>791</v>
      </c>
      <c r="AF54" s="2" t="s">
        <v>713</v>
      </c>
      <c r="AG54" s="2" t="s">
        <v>791</v>
      </c>
    </row>
    <row r="55" spans="1:33">
      <c r="A55" s="2" t="s">
        <v>706</v>
      </c>
      <c r="B55" s="2" t="s">
        <v>468</v>
      </c>
      <c r="C55" s="2" t="s">
        <v>685</v>
      </c>
      <c r="E55" t="s">
        <v>792</v>
      </c>
      <c r="G55" s="3"/>
      <c r="H55" s="3"/>
      <c r="I55" s="3"/>
      <c r="J55" s="3"/>
      <c r="O55"/>
      <c r="P55" s="4"/>
      <c r="Q55" s="4" t="s">
        <v>793</v>
      </c>
      <c r="R55" s="4" t="s">
        <v>794</v>
      </c>
      <c r="S55" s="4" t="s">
        <v>794</v>
      </c>
      <c r="T55" s="4" t="s">
        <v>794</v>
      </c>
      <c r="U55" s="4" t="s">
        <v>794</v>
      </c>
      <c r="V55" s="4" t="s">
        <v>794</v>
      </c>
      <c r="W55" s="2" t="s">
        <v>794</v>
      </c>
      <c r="X55" s="2" t="s">
        <v>772</v>
      </c>
      <c r="Z55" s="2" t="s">
        <v>794</v>
      </c>
      <c r="AA55" s="2" t="s">
        <v>772</v>
      </c>
      <c r="AB55" s="2" t="s">
        <v>795</v>
      </c>
      <c r="AC55" s="2" t="s">
        <v>735</v>
      </c>
      <c r="AD55" s="2" t="s">
        <v>796</v>
      </c>
      <c r="AE55" s="2" t="s">
        <v>795</v>
      </c>
      <c r="AF55" s="2" t="s">
        <v>795</v>
      </c>
      <c r="AG55" s="2" t="s">
        <v>796</v>
      </c>
    </row>
    <row r="56" spans="1:16">
      <c r="A56" s="2" t="s">
        <v>706</v>
      </c>
      <c r="B56" s="2" t="s">
        <v>441</v>
      </c>
      <c r="C56" s="2" t="s">
        <v>685</v>
      </c>
      <c r="E56" t="s">
        <v>797</v>
      </c>
      <c r="G56" s="3"/>
      <c r="H56" s="3"/>
      <c r="I56" s="3"/>
      <c r="J56" s="3"/>
      <c r="O56"/>
      <c r="P56" s="4"/>
    </row>
    <row r="57" spans="1:33">
      <c r="A57" s="2" t="s">
        <v>706</v>
      </c>
      <c r="B57" s="2" t="s">
        <v>798</v>
      </c>
      <c r="C57" s="2" t="s">
        <v>685</v>
      </c>
      <c r="E57" t="s">
        <v>799</v>
      </c>
      <c r="G57" s="3"/>
      <c r="H57" s="3"/>
      <c r="I57" s="3"/>
      <c r="J57" s="3"/>
      <c r="O57">
        <v>6</v>
      </c>
      <c r="P57" s="2" t="s">
        <v>800</v>
      </c>
      <c r="Q57" s="2" t="s">
        <v>39</v>
      </c>
      <c r="R57" s="2" t="s">
        <v>801</v>
      </c>
      <c r="W57" s="2" t="s">
        <v>709</v>
      </c>
      <c r="X57" s="2" t="s">
        <v>710</v>
      </c>
      <c r="Z57" s="2" t="s">
        <v>709</v>
      </c>
      <c r="AA57" s="2" t="s">
        <v>710</v>
      </c>
      <c r="AC57" s="2" t="s">
        <v>709</v>
      </c>
      <c r="AD57" s="2" t="s">
        <v>710</v>
      </c>
      <c r="AF57" s="2" t="s">
        <v>709</v>
      </c>
      <c r="AG57" s="2" t="s">
        <v>710</v>
      </c>
    </row>
    <row r="58" spans="1:18">
      <c r="A58" s="2" t="s">
        <v>706</v>
      </c>
      <c r="B58" s="2" t="s">
        <v>802</v>
      </c>
      <c r="C58" s="2" t="s">
        <v>685</v>
      </c>
      <c r="E58" t="s">
        <v>803</v>
      </c>
      <c r="G58" s="3"/>
      <c r="H58" s="3"/>
      <c r="I58" s="3"/>
      <c r="J58" s="3"/>
      <c r="O58"/>
      <c r="P58" s="4"/>
      <c r="Q58" s="2" t="s">
        <v>791</v>
      </c>
      <c r="R58" s="2" t="s">
        <v>791</v>
      </c>
    </row>
    <row r="59" spans="1:18">
      <c r="A59" s="2" t="s">
        <v>706</v>
      </c>
      <c r="B59" s="2" t="s">
        <v>804</v>
      </c>
      <c r="C59" s="2" t="s">
        <v>685</v>
      </c>
      <c r="E59" t="s">
        <v>805</v>
      </c>
      <c r="G59" s="3"/>
      <c r="H59" s="3"/>
      <c r="I59" s="3"/>
      <c r="J59" s="3"/>
      <c r="O59"/>
      <c r="P59" s="4"/>
      <c r="Q59" s="2" t="s">
        <v>806</v>
      </c>
      <c r="R59" s="2" t="s">
        <v>795</v>
      </c>
    </row>
    <row r="60" spans="1:16">
      <c r="A60" s="2" t="s">
        <v>706</v>
      </c>
      <c r="B60" s="2" t="s">
        <v>807</v>
      </c>
      <c r="C60" s="2" t="s">
        <v>685</v>
      </c>
      <c r="E60" t="s">
        <v>808</v>
      </c>
      <c r="G60" s="3"/>
      <c r="H60" s="3"/>
      <c r="I60" s="3"/>
      <c r="J60" s="3"/>
      <c r="O60"/>
      <c r="P60" s="4"/>
    </row>
    <row r="61" spans="1:30">
      <c r="A61" s="2" t="s">
        <v>706</v>
      </c>
      <c r="B61" s="2" t="s">
        <v>809</v>
      </c>
      <c r="C61" s="2" t="s">
        <v>685</v>
      </c>
      <c r="E61" t="s">
        <v>810</v>
      </c>
      <c r="G61" s="3"/>
      <c r="H61" s="3"/>
      <c r="I61" s="3"/>
      <c r="J61" s="3"/>
      <c r="O61">
        <v>6</v>
      </c>
      <c r="P61" s="2" t="s">
        <v>811</v>
      </c>
      <c r="Q61" s="2" t="s">
        <v>402</v>
      </c>
      <c r="R61" s="2" t="s">
        <v>812</v>
      </c>
      <c r="S61" s="2" t="s">
        <v>813</v>
      </c>
      <c r="T61" s="2" t="s">
        <v>46</v>
      </c>
      <c r="W61" s="2" t="s">
        <v>814</v>
      </c>
      <c r="Z61" s="2" t="s">
        <v>20</v>
      </c>
      <c r="AC61" s="2" t="s">
        <v>63</v>
      </c>
      <c r="AD61" s="2" t="s">
        <v>815</v>
      </c>
    </row>
    <row r="62" spans="1:30">
      <c r="A62" s="2" t="s">
        <v>706</v>
      </c>
      <c r="B62" s="2" t="s">
        <v>816</v>
      </c>
      <c r="C62" s="2" t="s">
        <v>718</v>
      </c>
      <c r="D62" s="2" t="s">
        <v>817</v>
      </c>
      <c r="E62" t="s">
        <v>818</v>
      </c>
      <c r="F62" s="3"/>
      <c r="H62" s="3"/>
      <c r="I62" s="3"/>
      <c r="J62" s="3"/>
      <c r="O62"/>
      <c r="P62" s="4"/>
      <c r="Q62" s="2">
        <v>2</v>
      </c>
      <c r="R62" s="2">
        <v>2</v>
      </c>
      <c r="S62" s="2">
        <v>2</v>
      </c>
      <c r="T62" s="2" t="s">
        <v>791</v>
      </c>
      <c r="W62" s="2" t="s">
        <v>791</v>
      </c>
      <c r="Z62" s="2" t="s">
        <v>791</v>
      </c>
      <c r="AC62" s="2" t="s">
        <v>791</v>
      </c>
      <c r="AD62" s="2" t="s">
        <v>791</v>
      </c>
    </row>
    <row r="63" spans="1:30">
      <c r="A63" s="2" t="s">
        <v>706</v>
      </c>
      <c r="B63" s="2" t="s">
        <v>819</v>
      </c>
      <c r="C63" s="2" t="s">
        <v>718</v>
      </c>
      <c r="D63" s="2" t="s">
        <v>760</v>
      </c>
      <c r="E63" t="s">
        <v>820</v>
      </c>
      <c r="F63" s="3"/>
      <c r="H63" s="3"/>
      <c r="I63" s="3"/>
      <c r="O63"/>
      <c r="P63" s="4"/>
      <c r="Q63" s="2">
        <v>8</v>
      </c>
      <c r="R63" s="2">
        <v>20</v>
      </c>
      <c r="S63" s="6">
        <v>0.2</v>
      </c>
      <c r="T63" s="2" t="s">
        <v>732</v>
      </c>
      <c r="W63" s="2" t="s">
        <v>796</v>
      </c>
      <c r="Z63" s="2" t="s">
        <v>796</v>
      </c>
      <c r="AC63" s="2" t="s">
        <v>796</v>
      </c>
      <c r="AD63" s="2" t="s">
        <v>821</v>
      </c>
    </row>
    <row r="64" spans="1:16">
      <c r="A64" s="2" t="s">
        <v>706</v>
      </c>
      <c r="B64" s="2" t="s">
        <v>822</v>
      </c>
      <c r="C64" s="2" t="s">
        <v>718</v>
      </c>
      <c r="D64" s="2" t="s">
        <v>719</v>
      </c>
      <c r="E64" t="s">
        <v>823</v>
      </c>
      <c r="F64" s="3"/>
      <c r="H64" s="3"/>
      <c r="I64" s="3"/>
      <c r="O64"/>
      <c r="P64" s="4"/>
    </row>
    <row r="65" spans="1:33">
      <c r="A65" s="2" t="s">
        <v>706</v>
      </c>
      <c r="B65" s="2" t="s">
        <v>824</v>
      </c>
      <c r="C65" s="2" t="s">
        <v>718</v>
      </c>
      <c r="D65" s="2" t="s">
        <v>719</v>
      </c>
      <c r="E65" t="s">
        <v>825</v>
      </c>
      <c r="F65" s="3"/>
      <c r="H65" s="3"/>
      <c r="I65" s="3"/>
      <c r="O65">
        <v>6</v>
      </c>
      <c r="P65" s="2" t="s">
        <v>826</v>
      </c>
      <c r="Q65" s="2" t="s">
        <v>58</v>
      </c>
      <c r="R65" s="2" t="s">
        <v>26</v>
      </c>
      <c r="S65" s="2" t="s">
        <v>27</v>
      </c>
      <c r="X65" s="2" t="s">
        <v>45</v>
      </c>
      <c r="AA65" s="2" t="s">
        <v>812</v>
      </c>
      <c r="AF65" s="2" t="s">
        <v>827</v>
      </c>
      <c r="AG65" s="2" t="s">
        <v>42</v>
      </c>
    </row>
    <row r="66" spans="1:33">
      <c r="A66" s="2" t="s">
        <v>706</v>
      </c>
      <c r="B66" s="2" t="s">
        <v>828</v>
      </c>
      <c r="C66" s="2" t="s">
        <v>718</v>
      </c>
      <c r="D66" s="2" t="s">
        <v>817</v>
      </c>
      <c r="E66" t="s">
        <v>829</v>
      </c>
      <c r="F66" s="3"/>
      <c r="H66" s="3"/>
      <c r="I66" s="3"/>
      <c r="Q66" s="2" t="s">
        <v>791</v>
      </c>
      <c r="R66" s="2" t="s">
        <v>791</v>
      </c>
      <c r="S66" s="2" t="s">
        <v>791</v>
      </c>
      <c r="X66" s="2" t="s">
        <v>791</v>
      </c>
      <c r="AA66" s="2" t="s">
        <v>791</v>
      </c>
      <c r="AG66" s="2" t="s">
        <v>791</v>
      </c>
    </row>
    <row r="67" spans="1:33">
      <c r="A67" s="2" t="s">
        <v>706</v>
      </c>
      <c r="B67" s="2" t="s">
        <v>830</v>
      </c>
      <c r="C67" s="2" t="s">
        <v>718</v>
      </c>
      <c r="E67" t="s">
        <v>831</v>
      </c>
      <c r="F67" s="3"/>
      <c r="H67" s="3"/>
      <c r="I67" s="3"/>
      <c r="Q67" s="2" t="s">
        <v>735</v>
      </c>
      <c r="R67" s="2" t="s">
        <v>796</v>
      </c>
      <c r="S67" s="2" t="s">
        <v>796</v>
      </c>
      <c r="X67" s="2" t="s">
        <v>735</v>
      </c>
      <c r="AA67" s="2" t="s">
        <v>796</v>
      </c>
      <c r="AG67" s="2" t="s">
        <v>832</v>
      </c>
    </row>
    <row r="68" spans="1:9">
      <c r="A68" s="2" t="s">
        <v>706</v>
      </c>
      <c r="B68" s="2" t="s">
        <v>833</v>
      </c>
      <c r="C68" s="2" t="s">
        <v>718</v>
      </c>
      <c r="D68" s="2" t="s">
        <v>719</v>
      </c>
      <c r="E68" t="s">
        <v>834</v>
      </c>
      <c r="F68" s="3"/>
      <c r="H68" s="3"/>
      <c r="I68" s="3"/>
    </row>
    <row r="69" spans="1:9">
      <c r="A69" s="2" t="s">
        <v>706</v>
      </c>
      <c r="B69" s="2" t="s">
        <v>835</v>
      </c>
      <c r="C69" s="2" t="s">
        <v>718</v>
      </c>
      <c r="D69" s="2" t="s">
        <v>719</v>
      </c>
      <c r="E69" t="s">
        <v>836</v>
      </c>
      <c r="F69" s="3"/>
      <c r="H69" s="3"/>
      <c r="I69" s="3"/>
    </row>
    <row r="70" spans="1:9">
      <c r="A70" s="2" t="s">
        <v>706</v>
      </c>
      <c r="B70" s="2" t="s">
        <v>837</v>
      </c>
      <c r="C70" s="2" t="s">
        <v>718</v>
      </c>
      <c r="D70" s="2" t="s">
        <v>719</v>
      </c>
      <c r="E70" t="s">
        <v>838</v>
      </c>
      <c r="F70" s="3"/>
      <c r="H70" s="3"/>
      <c r="I70" s="3"/>
    </row>
    <row r="71" spans="1:9">
      <c r="A71" s="2" t="s">
        <v>706</v>
      </c>
      <c r="B71" s="2" t="s">
        <v>839</v>
      </c>
      <c r="C71" s="2" t="s">
        <v>718</v>
      </c>
      <c r="D71" s="2" t="s">
        <v>760</v>
      </c>
      <c r="E71" t="s">
        <v>840</v>
      </c>
      <c r="F71" s="3"/>
      <c r="H71" s="3"/>
      <c r="I71" s="3"/>
    </row>
    <row r="72" spans="1:9">
      <c r="A72" s="2" t="s">
        <v>706</v>
      </c>
      <c r="B72" s="2" t="s">
        <v>841</v>
      </c>
      <c r="C72" s="2" t="s">
        <v>757</v>
      </c>
      <c r="D72" s="2" t="s">
        <v>760</v>
      </c>
      <c r="E72" t="s">
        <v>842</v>
      </c>
      <c r="F72" s="3"/>
      <c r="H72" s="3"/>
      <c r="I72" s="3"/>
    </row>
    <row r="73" spans="1:9">
      <c r="A73" s="2" t="s">
        <v>706</v>
      </c>
      <c r="B73" s="2" t="s">
        <v>843</v>
      </c>
      <c r="C73" s="2" t="s">
        <v>757</v>
      </c>
      <c r="E73" t="s">
        <v>844</v>
      </c>
      <c r="F73" s="3"/>
      <c r="H73" s="3"/>
      <c r="I73" s="3"/>
    </row>
    <row r="74" spans="1:18">
      <c r="A74" s="2" t="s">
        <v>706</v>
      </c>
      <c r="B74" s="2" t="s">
        <v>845</v>
      </c>
      <c r="C74" s="2" t="s">
        <v>757</v>
      </c>
      <c r="E74" t="s">
        <v>846</v>
      </c>
      <c r="F74" s="3"/>
      <c r="H74" s="3"/>
      <c r="I74" s="3"/>
      <c r="Q74" t="s">
        <v>847</v>
      </c>
      <c r="R74"/>
    </row>
    <row r="75" spans="1:18">
      <c r="A75" s="2" t="s">
        <v>706</v>
      </c>
      <c r="B75" s="2" t="s">
        <v>848</v>
      </c>
      <c r="C75" s="2" t="s">
        <v>757</v>
      </c>
      <c r="D75" s="2" t="s">
        <v>760</v>
      </c>
      <c r="E75" t="s">
        <v>849</v>
      </c>
      <c r="F75" s="3"/>
      <c r="H75" s="3"/>
      <c r="I75" s="3"/>
      <c r="Q75" t="s">
        <v>850</v>
      </c>
      <c r="R75"/>
    </row>
    <row r="76" spans="1:18">
      <c r="A76" s="2" t="s">
        <v>706</v>
      </c>
      <c r="B76" s="2" t="s">
        <v>851</v>
      </c>
      <c r="C76" s="2" t="s">
        <v>757</v>
      </c>
      <c r="D76" s="2" t="s">
        <v>760</v>
      </c>
      <c r="E76" t="s">
        <v>852</v>
      </c>
      <c r="F76" s="3"/>
      <c r="H76" s="3"/>
      <c r="I76" s="3"/>
      <c r="Q76" t="s">
        <v>853</v>
      </c>
      <c r="R76"/>
    </row>
    <row r="77" spans="1:18">
      <c r="A77" s="2" t="s">
        <v>706</v>
      </c>
      <c r="B77" s="2" t="s">
        <v>438</v>
      </c>
      <c r="C77" s="2" t="s">
        <v>757</v>
      </c>
      <c r="D77" s="2" t="s">
        <v>817</v>
      </c>
      <c r="E77" t="s">
        <v>854</v>
      </c>
      <c r="F77" s="3"/>
      <c r="H77" s="3"/>
      <c r="I77" s="3"/>
      <c r="Q77" t="s">
        <v>855</v>
      </c>
      <c r="R77"/>
    </row>
    <row r="78" spans="1:21">
      <c r="A78" s="2" t="s">
        <v>706</v>
      </c>
      <c r="B78" s="2" t="s">
        <v>450</v>
      </c>
      <c r="C78" s="2" t="s">
        <v>757</v>
      </c>
      <c r="D78" s="2" t="s">
        <v>774</v>
      </c>
      <c r="E78" t="s">
        <v>856</v>
      </c>
      <c r="F78" s="3"/>
      <c r="H78" s="3"/>
      <c r="I78" s="3"/>
      <c r="Q78" t="s">
        <v>126</v>
      </c>
      <c r="R78" t="s">
        <v>857</v>
      </c>
      <c r="S78" s="2" t="s">
        <v>858</v>
      </c>
      <c r="U78" t="s">
        <v>859</v>
      </c>
    </row>
    <row r="79" spans="1:21">
      <c r="A79" s="2" t="s">
        <v>706</v>
      </c>
      <c r="B79" s="2" t="s">
        <v>860</v>
      </c>
      <c r="C79" s="2" t="s">
        <v>757</v>
      </c>
      <c r="D79" s="2" t="s">
        <v>719</v>
      </c>
      <c r="E79" t="s">
        <v>861</v>
      </c>
      <c r="Q79" t="s">
        <v>679</v>
      </c>
      <c r="R79" t="s">
        <v>862</v>
      </c>
      <c r="S79" s="2" t="s">
        <v>863</v>
      </c>
      <c r="U79" t="s">
        <v>864</v>
      </c>
    </row>
    <row r="80" spans="1:21">
      <c r="A80" s="2" t="s">
        <v>706</v>
      </c>
      <c r="B80" s="2" t="s">
        <v>865</v>
      </c>
      <c r="C80" s="2" t="s">
        <v>757</v>
      </c>
      <c r="D80" s="2" t="s">
        <v>817</v>
      </c>
      <c r="E80" t="s">
        <v>866</v>
      </c>
      <c r="Q80" t="s">
        <v>681</v>
      </c>
      <c r="R80" t="s">
        <v>862</v>
      </c>
      <c r="S80" s="2" t="s">
        <v>867</v>
      </c>
      <c r="U80" t="s">
        <v>868</v>
      </c>
    </row>
    <row r="81" spans="1:21">
      <c r="A81" s="2" t="s">
        <v>706</v>
      </c>
      <c r="B81" s="2" t="s">
        <v>869</v>
      </c>
      <c r="C81" s="2" t="s">
        <v>757</v>
      </c>
      <c r="D81" s="2" t="s">
        <v>760</v>
      </c>
      <c r="E81" t="s">
        <v>870</v>
      </c>
      <c r="Q81" t="s">
        <v>667</v>
      </c>
      <c r="R81" t="s">
        <v>871</v>
      </c>
      <c r="S81" s="2" t="s">
        <v>872</v>
      </c>
      <c r="U81" t="s">
        <v>873</v>
      </c>
    </row>
    <row r="82" spans="1:21">
      <c r="A82" s="2" t="s">
        <v>707</v>
      </c>
      <c r="B82" s="2" t="s">
        <v>874</v>
      </c>
      <c r="C82" s="2" t="s">
        <v>685</v>
      </c>
      <c r="E82" t="s">
        <v>875</v>
      </c>
      <c r="G82" s="3"/>
      <c r="H82" s="3"/>
      <c r="Q82" t="s">
        <v>876</v>
      </c>
      <c r="R82" t="s">
        <v>877</v>
      </c>
      <c r="S82" s="2" t="s">
        <v>878</v>
      </c>
      <c r="U82" t="s">
        <v>879</v>
      </c>
    </row>
    <row r="83" spans="1:5">
      <c r="A83" s="2" t="s">
        <v>707</v>
      </c>
      <c r="B83" s="2" t="s">
        <v>880</v>
      </c>
      <c r="C83" s="2" t="s">
        <v>685</v>
      </c>
      <c r="E83" t="s">
        <v>881</v>
      </c>
    </row>
    <row r="84" spans="1:5">
      <c r="A84" s="2" t="s">
        <v>707</v>
      </c>
      <c r="B84" s="2" t="s">
        <v>882</v>
      </c>
      <c r="C84" s="2" t="s">
        <v>685</v>
      </c>
      <c r="E84" t="s">
        <v>883</v>
      </c>
    </row>
    <row r="85" spans="1:5">
      <c r="A85" s="2" t="s">
        <v>707</v>
      </c>
      <c r="B85" s="2" t="s">
        <v>884</v>
      </c>
      <c r="C85" s="2" t="s">
        <v>685</v>
      </c>
      <c r="E85" t="s">
        <v>885</v>
      </c>
    </row>
    <row r="86" spans="1:17">
      <c r="A86" s="2" t="s">
        <v>707</v>
      </c>
      <c r="B86" s="2" t="s">
        <v>886</v>
      </c>
      <c r="C86" s="2" t="s">
        <v>685</v>
      </c>
      <c r="E86" t="s">
        <v>887</v>
      </c>
      <c r="Q86" s="2" t="s">
        <v>888</v>
      </c>
    </row>
    <row r="87" spans="1:17">
      <c r="A87" s="2" t="s">
        <v>707</v>
      </c>
      <c r="B87" s="2" t="s">
        <v>889</v>
      </c>
      <c r="C87" s="2" t="s">
        <v>685</v>
      </c>
      <c r="E87" t="s">
        <v>890</v>
      </c>
      <c r="Q87" s="2" t="s">
        <v>891</v>
      </c>
    </row>
    <row r="88" spans="1:5">
      <c r="A88" s="2" t="s">
        <v>707</v>
      </c>
      <c r="B88" s="2" t="s">
        <v>892</v>
      </c>
      <c r="C88" s="2" t="s">
        <v>685</v>
      </c>
      <c r="E88" t="s">
        <v>893</v>
      </c>
    </row>
    <row r="89" spans="1:5">
      <c r="A89" s="2" t="s">
        <v>707</v>
      </c>
      <c r="B89" s="2" t="s">
        <v>894</v>
      </c>
      <c r="C89" s="2" t="s">
        <v>685</v>
      </c>
      <c r="E89" t="s">
        <v>895</v>
      </c>
    </row>
    <row r="90" spans="1:5">
      <c r="A90" s="2" t="s">
        <v>707</v>
      </c>
      <c r="B90" s="2" t="s">
        <v>896</v>
      </c>
      <c r="C90" s="2" t="s">
        <v>685</v>
      </c>
      <c r="E90" t="s">
        <v>897</v>
      </c>
    </row>
    <row r="91" spans="1:5">
      <c r="A91" s="2" t="s">
        <v>707</v>
      </c>
      <c r="B91" s="2" t="s">
        <v>898</v>
      </c>
      <c r="C91" s="2" t="s">
        <v>685</v>
      </c>
      <c r="E91" t="s">
        <v>899</v>
      </c>
    </row>
    <row r="92" spans="1:5">
      <c r="A92" s="2" t="s">
        <v>707</v>
      </c>
      <c r="B92" s="2" t="s">
        <v>900</v>
      </c>
      <c r="C92" s="2" t="s">
        <v>718</v>
      </c>
      <c r="D92" s="2" t="s">
        <v>719</v>
      </c>
      <c r="E92" t="s">
        <v>901</v>
      </c>
    </row>
    <row r="93" spans="1:5">
      <c r="A93" s="2" t="s">
        <v>707</v>
      </c>
      <c r="B93" s="2" t="s">
        <v>882</v>
      </c>
      <c r="C93" s="2" t="s">
        <v>718</v>
      </c>
      <c r="D93" s="2" t="s">
        <v>817</v>
      </c>
      <c r="E93" t="s">
        <v>902</v>
      </c>
    </row>
    <row r="94" spans="1:5">
      <c r="A94" s="2" t="s">
        <v>707</v>
      </c>
      <c r="B94" s="2" t="s">
        <v>903</v>
      </c>
      <c r="C94" s="2" t="s">
        <v>718</v>
      </c>
      <c r="D94" s="2" t="s">
        <v>719</v>
      </c>
      <c r="E94" t="s">
        <v>904</v>
      </c>
    </row>
    <row r="95" spans="1:5">
      <c r="A95" s="2" t="s">
        <v>707</v>
      </c>
      <c r="B95" s="2" t="s">
        <v>886</v>
      </c>
      <c r="C95" s="2" t="s">
        <v>718</v>
      </c>
      <c r="D95" s="2" t="s">
        <v>817</v>
      </c>
      <c r="E95" t="s">
        <v>905</v>
      </c>
    </row>
    <row r="96" spans="1:5">
      <c r="A96" s="2" t="s">
        <v>707</v>
      </c>
      <c r="B96" s="2" t="s">
        <v>906</v>
      </c>
      <c r="C96" s="2" t="s">
        <v>718</v>
      </c>
      <c r="D96" s="2" t="s">
        <v>719</v>
      </c>
      <c r="E96" t="s">
        <v>907</v>
      </c>
    </row>
    <row r="97" spans="1:5">
      <c r="A97" s="2" t="s">
        <v>707</v>
      </c>
      <c r="B97" s="2" t="s">
        <v>908</v>
      </c>
      <c r="C97" s="2" t="s">
        <v>718</v>
      </c>
      <c r="D97" s="2" t="s">
        <v>748</v>
      </c>
      <c r="E97" t="s">
        <v>909</v>
      </c>
    </row>
    <row r="98" spans="1:5">
      <c r="A98" s="2" t="s">
        <v>707</v>
      </c>
      <c r="B98" s="2" t="s">
        <v>910</v>
      </c>
      <c r="C98" s="2" t="s">
        <v>718</v>
      </c>
      <c r="D98" s="2" t="s">
        <v>719</v>
      </c>
      <c r="E98" t="s">
        <v>911</v>
      </c>
    </row>
    <row r="99" spans="1:5">
      <c r="A99" s="2" t="s">
        <v>707</v>
      </c>
      <c r="B99" s="2" t="s">
        <v>912</v>
      </c>
      <c r="C99" s="2" t="s">
        <v>718</v>
      </c>
      <c r="D99" s="2" t="s">
        <v>913</v>
      </c>
      <c r="E99" t="s">
        <v>914</v>
      </c>
    </row>
    <row r="100" spans="1:6">
      <c r="A100" s="2" t="s">
        <v>707</v>
      </c>
      <c r="B100" s="2" t="s">
        <v>915</v>
      </c>
      <c r="C100" s="2" t="s">
        <v>718</v>
      </c>
      <c r="D100" s="4" t="s">
        <v>719</v>
      </c>
      <c r="E100" t="s">
        <v>916</v>
      </c>
      <c r="F100" s="3"/>
    </row>
    <row r="101" spans="1:6">
      <c r="A101" s="2" t="s">
        <v>707</v>
      </c>
      <c r="B101" s="2" t="s">
        <v>917</v>
      </c>
      <c r="C101" s="2" t="s">
        <v>718</v>
      </c>
      <c r="D101" s="4" t="s">
        <v>737</v>
      </c>
      <c r="E101" t="s">
        <v>918</v>
      </c>
      <c r="F101" s="3"/>
    </row>
    <row r="102" spans="1:8">
      <c r="A102" s="2" t="s">
        <v>707</v>
      </c>
      <c r="B102" s="2" t="s">
        <v>919</v>
      </c>
      <c r="C102" s="2" t="s">
        <v>757</v>
      </c>
      <c r="D102" s="4" t="s">
        <v>719</v>
      </c>
      <c r="E102" s="4" t="s">
        <v>920</v>
      </c>
      <c r="F102" s="3"/>
      <c r="G102" s="3"/>
      <c r="H102" s="3"/>
    </row>
    <row r="103" spans="1:8">
      <c r="A103" s="2" t="s">
        <v>707</v>
      </c>
      <c r="B103" s="2" t="s">
        <v>921</v>
      </c>
      <c r="C103" s="2" t="s">
        <v>757</v>
      </c>
      <c r="D103" s="2" t="s">
        <v>913</v>
      </c>
      <c r="E103" s="2" t="s">
        <v>922</v>
      </c>
      <c r="G103" s="3"/>
      <c r="H103" s="3"/>
    </row>
    <row r="104" spans="1:8">
      <c r="A104" s="2" t="s">
        <v>707</v>
      </c>
      <c r="B104" s="2" t="s">
        <v>923</v>
      </c>
      <c r="C104" s="2" t="s">
        <v>757</v>
      </c>
      <c r="D104" s="2" t="s">
        <v>774</v>
      </c>
      <c r="E104" s="2" t="s">
        <v>924</v>
      </c>
      <c r="G104" s="3"/>
      <c r="H104" s="3"/>
    </row>
    <row r="105" spans="1:5">
      <c r="A105" s="2" t="s">
        <v>707</v>
      </c>
      <c r="B105" s="2" t="s">
        <v>925</v>
      </c>
      <c r="C105" s="2" t="s">
        <v>757</v>
      </c>
      <c r="D105" s="2" t="s">
        <v>817</v>
      </c>
      <c r="E105" s="2" t="s">
        <v>926</v>
      </c>
    </row>
    <row r="106" spans="1:5">
      <c r="A106" s="2" t="s">
        <v>707</v>
      </c>
      <c r="B106" s="2" t="s">
        <v>927</v>
      </c>
      <c r="C106" s="2" t="s">
        <v>757</v>
      </c>
      <c r="D106" s="2" t="s">
        <v>719</v>
      </c>
      <c r="E106" s="2" t="s">
        <v>928</v>
      </c>
    </row>
    <row r="107" spans="1:5">
      <c r="A107" s="2" t="s">
        <v>707</v>
      </c>
      <c r="B107" s="2" t="s">
        <v>929</v>
      </c>
      <c r="C107" s="2" t="s">
        <v>757</v>
      </c>
      <c r="D107" s="2" t="s">
        <v>719</v>
      </c>
      <c r="E107" s="2" t="s">
        <v>930</v>
      </c>
    </row>
    <row r="108" spans="1:5">
      <c r="A108" s="2" t="s">
        <v>707</v>
      </c>
      <c r="B108" s="2" t="s">
        <v>931</v>
      </c>
      <c r="C108" s="2" t="s">
        <v>757</v>
      </c>
      <c r="D108" s="2" t="s">
        <v>817</v>
      </c>
      <c r="E108" s="2" t="s">
        <v>932</v>
      </c>
    </row>
    <row r="109" spans="1:5">
      <c r="A109" s="2" t="s">
        <v>707</v>
      </c>
      <c r="B109" s="2" t="s">
        <v>933</v>
      </c>
      <c r="C109" s="2" t="s">
        <v>757</v>
      </c>
      <c r="D109" s="2" t="s">
        <v>737</v>
      </c>
      <c r="E109" s="2" t="s">
        <v>934</v>
      </c>
    </row>
    <row r="110" spans="1:5">
      <c r="A110" s="2" t="s">
        <v>707</v>
      </c>
      <c r="B110" s="2" t="s">
        <v>935</v>
      </c>
      <c r="C110" s="2" t="s">
        <v>757</v>
      </c>
      <c r="D110" s="2" t="s">
        <v>936</v>
      </c>
      <c r="E110" s="2" t="s">
        <v>937</v>
      </c>
    </row>
    <row r="111" spans="1:5">
      <c r="A111" s="2" t="s">
        <v>707</v>
      </c>
      <c r="B111" s="2" t="s">
        <v>938</v>
      </c>
      <c r="C111" s="2" t="s">
        <v>757</v>
      </c>
      <c r="D111" s="2" t="s">
        <v>719</v>
      </c>
      <c r="E111" s="2" t="s">
        <v>939</v>
      </c>
    </row>
    <row r="116" spans="5:5">
      <c r="E116" t="s">
        <v>940</v>
      </c>
    </row>
    <row r="117" spans="5:5">
      <c r="E117" t="s">
        <v>941</v>
      </c>
    </row>
    <row r="118" spans="5:5">
      <c r="E118" t="s">
        <v>942</v>
      </c>
    </row>
    <row r="120" spans="2:5">
      <c r="B120" s="2" t="s">
        <v>943</v>
      </c>
      <c r="D120" s="2" t="s">
        <v>713</v>
      </c>
      <c r="E120" t="s">
        <v>944</v>
      </c>
    </row>
    <row r="121" spans="4:5">
      <c r="D121" s="2" t="s">
        <v>945</v>
      </c>
      <c r="E121" t="s">
        <v>946</v>
      </c>
    </row>
    <row r="122" spans="2:5">
      <c r="B122" s="7"/>
      <c r="D122" s="2" t="s">
        <v>947</v>
      </c>
      <c r="E122" s="8" t="s">
        <v>948</v>
      </c>
    </row>
    <row r="123" spans="2:5">
      <c r="B123" s="2" t="s">
        <v>949</v>
      </c>
      <c r="D123" s="2" t="s">
        <v>950</v>
      </c>
      <c r="E123" s="8" t="s">
        <v>951</v>
      </c>
    </row>
    <row r="124" spans="2:5">
      <c r="B124" s="2" t="s">
        <v>952</v>
      </c>
      <c r="E124" s="8" t="s">
        <v>953</v>
      </c>
    </row>
    <row r="125" spans="4:5">
      <c r="D125" s="2" t="s">
        <v>954</v>
      </c>
      <c r="E125" t="s">
        <v>955</v>
      </c>
    </row>
    <row r="126" spans="4:5">
      <c r="D126" s="2" t="s">
        <v>956</v>
      </c>
      <c r="E126" t="s">
        <v>957</v>
      </c>
    </row>
    <row r="127" ht="28.8" spans="2:5">
      <c r="B127" s="2" t="s">
        <v>958</v>
      </c>
      <c r="D127" s="2" t="s">
        <v>959</v>
      </c>
      <c r="E127" s="8" t="s">
        <v>960</v>
      </c>
    </row>
    <row r="128" spans="2:5">
      <c r="B128" s="2" t="s">
        <v>961</v>
      </c>
      <c r="D128" s="2" t="s">
        <v>962</v>
      </c>
      <c r="E128" t="s">
        <v>963</v>
      </c>
    </row>
    <row r="130" spans="2:5">
      <c r="B130" s="4" t="s">
        <v>964</v>
      </c>
      <c r="E130" s="3" t="s">
        <v>965</v>
      </c>
    </row>
    <row r="131" spans="2:5">
      <c r="B131" s="4"/>
      <c r="E131" s="9" t="s">
        <v>966</v>
      </c>
    </row>
    <row r="132" spans="5:5">
      <c r="E132" s="3"/>
    </row>
    <row r="133" spans="1:1">
      <c r="A133" s="10"/>
    </row>
    <row r="135" spans="2:5">
      <c r="B135" s="2" t="s">
        <v>967</v>
      </c>
      <c r="E135" s="3" t="s">
        <v>968</v>
      </c>
    </row>
    <row r="136" spans="2:5">
      <c r="B136" s="2" t="s">
        <v>969</v>
      </c>
      <c r="E136" t="s">
        <v>970</v>
      </c>
    </row>
    <row r="137" spans="5:5">
      <c r="E137" t="s">
        <v>971</v>
      </c>
    </row>
    <row r="138" spans="3:5">
      <c r="C138" s="2" t="s">
        <v>718</v>
      </c>
      <c r="E138" t="s">
        <v>972</v>
      </c>
    </row>
    <row r="139" spans="3:5">
      <c r="C139" s="2" t="s">
        <v>718</v>
      </c>
      <c r="E139" s="3" t="s">
        <v>973</v>
      </c>
    </row>
    <row r="140" spans="3:5">
      <c r="C140" s="2" t="s">
        <v>718</v>
      </c>
      <c r="E140" s="3" t="s">
        <v>974</v>
      </c>
    </row>
    <row r="141" spans="2:5">
      <c r="B141" s="2" t="s">
        <v>975</v>
      </c>
      <c r="C141" s="2" t="s">
        <v>718</v>
      </c>
      <c r="E141" s="3" t="s">
        <v>976</v>
      </c>
    </row>
    <row r="142" spans="3:5">
      <c r="C142" s="2" t="s">
        <v>718</v>
      </c>
      <c r="E142" s="3" t="s">
        <v>977</v>
      </c>
    </row>
    <row r="143" spans="5:5">
      <c r="E143" s="3" t="s">
        <v>978</v>
      </c>
    </row>
    <row r="144" spans="5:5">
      <c r="E144" s="3" t="s">
        <v>979</v>
      </c>
    </row>
    <row r="145" spans="2:5">
      <c r="B145" s="4" t="s">
        <v>980</v>
      </c>
      <c r="E145" t="s">
        <v>981</v>
      </c>
    </row>
    <row r="146" spans="2:5">
      <c r="B146" s="4" t="s">
        <v>982</v>
      </c>
      <c r="E146" t="s">
        <v>983</v>
      </c>
    </row>
    <row r="147" spans="2:5">
      <c r="B147" s="4"/>
      <c r="E147" t="s">
        <v>984</v>
      </c>
    </row>
    <row r="148" spans="2:5">
      <c r="B148" s="4" t="s">
        <v>420</v>
      </c>
      <c r="E148" t="s">
        <v>985</v>
      </c>
    </row>
    <row r="149" spans="2:5">
      <c r="B149" s="4" t="s">
        <v>986</v>
      </c>
      <c r="E149" t="s">
        <v>987</v>
      </c>
    </row>
    <row r="150" spans="2:5">
      <c r="B150" s="4" t="s">
        <v>961</v>
      </c>
      <c r="E150" t="s">
        <v>988</v>
      </c>
    </row>
    <row r="151" spans="2:5">
      <c r="B151" s="4" t="s">
        <v>989</v>
      </c>
      <c r="E151" t="s">
        <v>990</v>
      </c>
    </row>
    <row r="152" spans="2:5">
      <c r="B152" s="4" t="s">
        <v>991</v>
      </c>
      <c r="E152" t="s">
        <v>992</v>
      </c>
    </row>
    <row r="153" ht="15" spans="1:5">
      <c r="A153" s="2" t="s">
        <v>705</v>
      </c>
      <c r="B153" s="11"/>
      <c r="C153" s="2" t="s">
        <v>685</v>
      </c>
      <c r="E153" t="s">
        <v>993</v>
      </c>
    </row>
    <row r="154" spans="1:5">
      <c r="A154" s="2" t="s">
        <v>705</v>
      </c>
      <c r="C154" s="2" t="s">
        <v>685</v>
      </c>
      <c r="E154" t="s">
        <v>994</v>
      </c>
    </row>
    <row r="155" spans="1:5">
      <c r="A155" s="2" t="s">
        <v>705</v>
      </c>
      <c r="C155" s="2" t="s">
        <v>685</v>
      </c>
      <c r="E155" t="s">
        <v>995</v>
      </c>
    </row>
    <row r="156" spans="1:5">
      <c r="A156" s="2" t="s">
        <v>705</v>
      </c>
      <c r="C156" s="2" t="s">
        <v>685</v>
      </c>
      <c r="E156" t="s">
        <v>996</v>
      </c>
    </row>
    <row r="157" spans="1:5">
      <c r="A157" s="2" t="s">
        <v>705</v>
      </c>
      <c r="C157" s="2" t="s">
        <v>685</v>
      </c>
      <c r="E157" t="s">
        <v>997</v>
      </c>
    </row>
    <row r="158" spans="1:5">
      <c r="A158" s="2" t="s">
        <v>705</v>
      </c>
      <c r="C158" s="2" t="s">
        <v>685</v>
      </c>
      <c r="E158" t="s">
        <v>998</v>
      </c>
    </row>
    <row r="167" spans="1:1">
      <c r="A167" s="2" t="s">
        <v>705</v>
      </c>
    </row>
    <row r="168" spans="1:5">
      <c r="A168" s="2" t="s">
        <v>705</v>
      </c>
      <c r="B168" s="2" t="s">
        <v>986</v>
      </c>
      <c r="C168" s="2" t="s">
        <v>999</v>
      </c>
      <c r="E168" t="s">
        <v>1000</v>
      </c>
    </row>
    <row r="170" spans="2:5">
      <c r="B170" s="2" t="s">
        <v>1001</v>
      </c>
      <c r="E170" t="s">
        <v>1002</v>
      </c>
    </row>
    <row r="171" spans="2:5">
      <c r="B171" s="2" t="s">
        <v>1003</v>
      </c>
      <c r="E171" t="s">
        <v>1004</v>
      </c>
    </row>
    <row r="172" spans="2:5">
      <c r="B172" s="7" t="s">
        <v>1005</v>
      </c>
      <c r="E172" t="s">
        <v>1006</v>
      </c>
    </row>
    <row r="173" spans="2:5">
      <c r="B173" s="2" t="s">
        <v>1007</v>
      </c>
      <c r="E173" t="s">
        <v>1008</v>
      </c>
    </row>
  </sheetData>
  <mergeCells count="45">
    <mergeCell ref="Q28:V28"/>
    <mergeCell ref="W28:Y28"/>
    <mergeCell ref="Z28:AB28"/>
    <mergeCell ref="AC28:AE28"/>
    <mergeCell ref="AF28:AH28"/>
    <mergeCell ref="W29:W31"/>
    <mergeCell ref="W37:W39"/>
    <mergeCell ref="W49:W51"/>
    <mergeCell ref="W57:W59"/>
    <mergeCell ref="X29:X31"/>
    <mergeCell ref="X37:X39"/>
    <mergeCell ref="X49:X51"/>
    <mergeCell ref="X57:X59"/>
    <mergeCell ref="Y29:Y31"/>
    <mergeCell ref="Y49:Y51"/>
    <mergeCell ref="Z29:Z31"/>
    <mergeCell ref="Z37:Z39"/>
    <mergeCell ref="Z49:Z51"/>
    <mergeCell ref="Z57:Z59"/>
    <mergeCell ref="AA29:AA31"/>
    <mergeCell ref="AA37:AA39"/>
    <mergeCell ref="AA49:AA51"/>
    <mergeCell ref="AA57:AA59"/>
    <mergeCell ref="AB29:AB31"/>
    <mergeCell ref="AB49:AB51"/>
    <mergeCell ref="AC29:AC31"/>
    <mergeCell ref="AC37:AC39"/>
    <mergeCell ref="AC49:AC51"/>
    <mergeCell ref="AC57:AC59"/>
    <mergeCell ref="AD29:AD31"/>
    <mergeCell ref="AD37:AD39"/>
    <mergeCell ref="AD49:AD51"/>
    <mergeCell ref="AD57:AD59"/>
    <mergeCell ref="AE29:AE31"/>
    <mergeCell ref="AE49:AE51"/>
    <mergeCell ref="AF29:AF31"/>
    <mergeCell ref="AF37:AF39"/>
    <mergeCell ref="AF49:AF51"/>
    <mergeCell ref="AF57:AF59"/>
    <mergeCell ref="AG29:AG31"/>
    <mergeCell ref="AG37:AG39"/>
    <mergeCell ref="AG49:AG51"/>
    <mergeCell ref="AG57:AG59"/>
    <mergeCell ref="AH29:AH31"/>
    <mergeCell ref="AH49:AH5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78"/>
  <sheetViews>
    <sheetView workbookViewId="0">
      <selection activeCell="D11" sqref="D11:D12"/>
    </sheetView>
  </sheetViews>
  <sheetFormatPr defaultColWidth="9" defaultRowHeight="14.4"/>
  <cols>
    <col min="1" max="1" width="24.3796296296296" customWidth="1"/>
    <col min="2" max="3" width="11.75" customWidth="1"/>
    <col min="4" max="4" width="17.6296296296296" customWidth="1"/>
    <col min="17" max="17" width="15" customWidth="1"/>
    <col min="18" max="22" width="12.6296296296296" customWidth="1"/>
  </cols>
  <sheetData>
    <row r="1" spans="1:18">
      <c r="A1" t="s">
        <v>1009</v>
      </c>
      <c r="B1" t="s">
        <v>6</v>
      </c>
      <c r="J1" t="s">
        <v>1010</v>
      </c>
      <c r="L1" t="s">
        <v>7</v>
      </c>
      <c r="Q1" t="s">
        <v>124</v>
      </c>
      <c r="R1" t="s">
        <v>1011</v>
      </c>
    </row>
    <row r="2" spans="1:26">
      <c r="A2" t="s">
        <v>384</v>
      </c>
      <c r="B2" t="s">
        <v>1012</v>
      </c>
      <c r="Q2" t="s">
        <v>1013</v>
      </c>
      <c r="R2" t="s">
        <v>1014</v>
      </c>
      <c r="S2" t="s">
        <v>1015</v>
      </c>
      <c r="U2" t="s">
        <v>1016</v>
      </c>
      <c r="V2" t="s">
        <v>1017</v>
      </c>
      <c r="Z2" t="s">
        <v>1018</v>
      </c>
    </row>
    <row r="3" spans="1:26">
      <c r="A3" t="s">
        <v>1019</v>
      </c>
      <c r="B3" t="s">
        <v>294</v>
      </c>
      <c r="D3" t="s">
        <v>92</v>
      </c>
      <c r="J3" t="s">
        <v>1020</v>
      </c>
      <c r="K3" t="s">
        <v>1021</v>
      </c>
      <c r="L3" t="s">
        <v>92</v>
      </c>
      <c r="Q3" t="s">
        <v>1022</v>
      </c>
      <c r="R3" t="s">
        <v>1023</v>
      </c>
      <c r="S3" t="s">
        <v>1024</v>
      </c>
      <c r="U3" t="s">
        <v>1025</v>
      </c>
      <c r="V3" t="s">
        <v>1026</v>
      </c>
      <c r="Z3" t="s">
        <v>1027</v>
      </c>
    </row>
    <row r="4" spans="1:26">
      <c r="A4" t="s">
        <v>6</v>
      </c>
      <c r="B4" t="s">
        <v>1028</v>
      </c>
      <c r="C4" t="s">
        <v>1029</v>
      </c>
      <c r="D4" t="s">
        <v>1030</v>
      </c>
      <c r="J4" t="s">
        <v>10</v>
      </c>
      <c r="K4" t="s">
        <v>1031</v>
      </c>
      <c r="L4" t="s">
        <v>1032</v>
      </c>
      <c r="Q4" t="s">
        <v>1033</v>
      </c>
      <c r="R4" t="s">
        <v>1023</v>
      </c>
      <c r="S4" t="s">
        <v>1034</v>
      </c>
      <c r="U4" t="s">
        <v>1035</v>
      </c>
      <c r="V4" t="s">
        <v>1036</v>
      </c>
      <c r="Z4" t="s">
        <v>1037</v>
      </c>
    </row>
    <row r="5" spans="1:26">
      <c r="A5" t="s">
        <v>8</v>
      </c>
      <c r="B5" t="s">
        <v>1028</v>
      </c>
      <c r="C5" t="s">
        <v>1029</v>
      </c>
      <c r="D5" t="s">
        <v>1030</v>
      </c>
      <c r="J5" t="s">
        <v>68</v>
      </c>
      <c r="K5" t="s">
        <v>1031</v>
      </c>
      <c r="L5" t="s">
        <v>1032</v>
      </c>
      <c r="Q5" t="s">
        <v>1038</v>
      </c>
      <c r="R5" t="s">
        <v>1024</v>
      </c>
      <c r="S5" t="s">
        <v>1039</v>
      </c>
      <c r="U5" t="s">
        <v>1040</v>
      </c>
      <c r="V5" t="s">
        <v>1041</v>
      </c>
      <c r="Z5" t="s">
        <v>1042</v>
      </c>
    </row>
    <row r="6" spans="1:26">
      <c r="A6" t="s">
        <v>10</v>
      </c>
      <c r="B6" t="s">
        <v>1028</v>
      </c>
      <c r="C6" t="s">
        <v>1029</v>
      </c>
      <c r="D6" t="s">
        <v>1030</v>
      </c>
      <c r="J6" t="s">
        <v>50</v>
      </c>
      <c r="K6" t="s">
        <v>1043</v>
      </c>
      <c r="L6" t="s">
        <v>1044</v>
      </c>
      <c r="Q6" t="s">
        <v>1045</v>
      </c>
      <c r="R6" t="s">
        <v>1039</v>
      </c>
      <c r="S6" t="s">
        <v>1046</v>
      </c>
      <c r="U6" t="s">
        <v>1047</v>
      </c>
      <c r="V6" t="s">
        <v>1048</v>
      </c>
      <c r="Z6" t="s">
        <v>1049</v>
      </c>
    </row>
    <row r="7" spans="2:22">
      <c r="B7" t="s">
        <v>1028</v>
      </c>
      <c r="C7" t="s">
        <v>1029</v>
      </c>
      <c r="J7" t="s">
        <v>63</v>
      </c>
      <c r="K7" t="s">
        <v>1043</v>
      </c>
      <c r="L7" t="s">
        <v>1050</v>
      </c>
      <c r="Q7" t="s">
        <v>1051</v>
      </c>
      <c r="R7" t="s">
        <v>1039</v>
      </c>
      <c r="S7" t="s">
        <v>1046</v>
      </c>
      <c r="U7" t="s">
        <v>1052</v>
      </c>
      <c r="V7" t="s">
        <v>1053</v>
      </c>
    </row>
    <row r="8" spans="2:12">
      <c r="B8" t="s">
        <v>1028</v>
      </c>
      <c r="C8" t="s">
        <v>1029</v>
      </c>
      <c r="J8" t="s">
        <v>64</v>
      </c>
      <c r="K8" t="s">
        <v>1043</v>
      </c>
      <c r="L8" t="s">
        <v>1050</v>
      </c>
    </row>
    <row r="9" spans="10:22">
      <c r="J9" t="s">
        <v>62</v>
      </c>
      <c r="K9" t="s">
        <v>1054</v>
      </c>
      <c r="L9" t="s">
        <v>1055</v>
      </c>
      <c r="Q9" t="s">
        <v>1013</v>
      </c>
      <c r="R9" t="s">
        <v>1014</v>
      </c>
      <c r="S9" t="s">
        <v>1015</v>
      </c>
      <c r="T9" t="s">
        <v>1016</v>
      </c>
      <c r="U9" t="s">
        <v>1056</v>
      </c>
      <c r="V9" t="s">
        <v>1017</v>
      </c>
    </row>
    <row r="10" spans="10:26">
      <c r="J10" t="s">
        <v>76</v>
      </c>
      <c r="K10" t="s">
        <v>1054</v>
      </c>
      <c r="L10" t="s">
        <v>1057</v>
      </c>
      <c r="Q10" t="s">
        <v>1058</v>
      </c>
      <c r="R10" t="s">
        <v>1059</v>
      </c>
      <c r="S10" t="s">
        <v>1060</v>
      </c>
      <c r="T10" t="s">
        <v>1061</v>
      </c>
      <c r="U10" t="s">
        <v>1062</v>
      </c>
      <c r="V10" t="s">
        <v>1063</v>
      </c>
      <c r="Z10" t="s">
        <v>1064</v>
      </c>
    </row>
    <row r="11" spans="1:26">
      <c r="A11" t="s">
        <v>466</v>
      </c>
      <c r="B11" t="s">
        <v>1065</v>
      </c>
      <c r="D11" t="s">
        <v>1066</v>
      </c>
      <c r="J11" t="s">
        <v>1067</v>
      </c>
      <c r="K11" t="s">
        <v>1068</v>
      </c>
      <c r="L11" t="s">
        <v>1069</v>
      </c>
      <c r="Q11" t="s">
        <v>1070</v>
      </c>
      <c r="R11" t="s">
        <v>1039</v>
      </c>
      <c r="S11" t="s">
        <v>1046</v>
      </c>
      <c r="T11" t="s">
        <v>1071</v>
      </c>
      <c r="U11" t="s">
        <v>1072</v>
      </c>
      <c r="V11" t="s">
        <v>1053</v>
      </c>
      <c r="Z11" t="s">
        <v>1073</v>
      </c>
    </row>
    <row r="12" spans="1:26">
      <c r="A12" t="s">
        <v>1074</v>
      </c>
      <c r="B12" t="s">
        <v>1065</v>
      </c>
      <c r="D12" t="s">
        <v>1075</v>
      </c>
      <c r="J12" t="s">
        <v>168</v>
      </c>
      <c r="K12" t="s">
        <v>1068</v>
      </c>
      <c r="L12" t="s">
        <v>1076</v>
      </c>
      <c r="Q12" t="s">
        <v>1077</v>
      </c>
      <c r="R12" t="s">
        <v>1023</v>
      </c>
      <c r="S12" t="s">
        <v>1024</v>
      </c>
      <c r="T12" t="s">
        <v>1078</v>
      </c>
      <c r="U12" t="s">
        <v>1079</v>
      </c>
      <c r="V12" t="s">
        <v>1080</v>
      </c>
      <c r="Z12" t="s">
        <v>1081</v>
      </c>
    </row>
    <row r="13" spans="10:26">
      <c r="J13" t="s">
        <v>72</v>
      </c>
      <c r="K13" t="s">
        <v>1068</v>
      </c>
      <c r="L13" t="s">
        <v>1082</v>
      </c>
      <c r="Q13" t="s">
        <v>1083</v>
      </c>
      <c r="R13" t="s">
        <v>1039</v>
      </c>
      <c r="S13" t="s">
        <v>1046</v>
      </c>
      <c r="T13" t="s">
        <v>555</v>
      </c>
      <c r="U13" t="s">
        <v>1084</v>
      </c>
      <c r="V13" t="s">
        <v>1085</v>
      </c>
      <c r="Z13" t="s">
        <v>1086</v>
      </c>
    </row>
    <row r="14" spans="17:26">
      <c r="Q14" t="s">
        <v>1087</v>
      </c>
      <c r="R14" t="s">
        <v>1023</v>
      </c>
      <c r="S14" t="s">
        <v>1024</v>
      </c>
      <c r="U14" t="s">
        <v>1088</v>
      </c>
      <c r="V14" t="s">
        <v>1089</v>
      </c>
      <c r="Z14" t="s">
        <v>1090</v>
      </c>
    </row>
    <row r="19" spans="1:11">
      <c r="A19" t="s">
        <v>124</v>
      </c>
      <c r="B19" t="s">
        <v>1091</v>
      </c>
      <c r="J19" t="s">
        <v>1058</v>
      </c>
      <c r="K19" t="s">
        <v>1092</v>
      </c>
    </row>
    <row r="20" spans="1:11">
      <c r="A20" t="s">
        <v>1093</v>
      </c>
      <c r="B20" t="s">
        <v>1094</v>
      </c>
      <c r="J20" t="s">
        <v>1070</v>
      </c>
      <c r="K20" t="s">
        <v>1095</v>
      </c>
    </row>
    <row r="21" spans="1:11">
      <c r="A21" t="s">
        <v>1096</v>
      </c>
      <c r="B21" t="s">
        <v>1097</v>
      </c>
      <c r="J21" t="s">
        <v>1077</v>
      </c>
      <c r="K21" t="s">
        <v>1098</v>
      </c>
    </row>
    <row r="22" spans="1:17">
      <c r="A22" t="s">
        <v>1099</v>
      </c>
      <c r="B22" t="s">
        <v>1100</v>
      </c>
      <c r="J22" t="s">
        <v>1083</v>
      </c>
      <c r="K22" t="s">
        <v>1101</v>
      </c>
      <c r="Q22" t="s">
        <v>1102</v>
      </c>
    </row>
    <row r="23" spans="1:11">
      <c r="A23" t="s">
        <v>1103</v>
      </c>
      <c r="B23" t="s">
        <v>1104</v>
      </c>
      <c r="J23" t="s">
        <v>1087</v>
      </c>
      <c r="K23" t="s">
        <v>1105</v>
      </c>
    </row>
    <row r="24" spans="1:2">
      <c r="A24" t="s">
        <v>1106</v>
      </c>
      <c r="B24" t="s">
        <v>1107</v>
      </c>
    </row>
    <row r="27" spans="22:25">
      <c r="V27" t="s">
        <v>1013</v>
      </c>
      <c r="W27" t="s">
        <v>1108</v>
      </c>
      <c r="X27" t="s">
        <v>1016</v>
      </c>
      <c r="Y27" t="s">
        <v>1109</v>
      </c>
    </row>
    <row r="28" spans="22:25">
      <c r="V28" t="s">
        <v>1110</v>
      </c>
      <c r="W28" t="s">
        <v>1111</v>
      </c>
      <c r="X28" t="s">
        <v>1025</v>
      </c>
      <c r="Y28" t="s">
        <v>1026</v>
      </c>
    </row>
    <row r="29" spans="1:25">
      <c r="A29" t="s">
        <v>1112</v>
      </c>
      <c r="V29" t="s">
        <v>1110</v>
      </c>
      <c r="W29" t="s">
        <v>1093</v>
      </c>
      <c r="X29" t="s">
        <v>474</v>
      </c>
      <c r="Y29" t="s">
        <v>1113</v>
      </c>
    </row>
    <row r="30" ht="15.6" spans="1:25">
      <c r="A30" s="1" t="s">
        <v>1114</v>
      </c>
      <c r="B30">
        <v>10</v>
      </c>
      <c r="D30" s="2" t="s">
        <v>1115</v>
      </c>
      <c r="E30" s="2"/>
      <c r="F30" s="2"/>
      <c r="V30" t="s">
        <v>1116</v>
      </c>
      <c r="W30" t="s">
        <v>1117</v>
      </c>
      <c r="X30" t="s">
        <v>1035</v>
      </c>
      <c r="Y30" t="s">
        <v>1036</v>
      </c>
    </row>
    <row r="31" spans="1:25">
      <c r="A31" t="s">
        <v>1118</v>
      </c>
      <c r="B31">
        <v>30</v>
      </c>
      <c r="V31" t="s">
        <v>1116</v>
      </c>
      <c r="W31" t="s">
        <v>1119</v>
      </c>
      <c r="X31" t="s">
        <v>1120</v>
      </c>
      <c r="Y31" t="s">
        <v>1121</v>
      </c>
    </row>
    <row r="32" spans="1:25">
      <c r="A32" t="s">
        <v>1122</v>
      </c>
      <c r="B32">
        <v>55</v>
      </c>
      <c r="V32" t="s">
        <v>1123</v>
      </c>
      <c r="W32" t="s">
        <v>1124</v>
      </c>
      <c r="X32" t="s">
        <v>1040</v>
      </c>
      <c r="Y32" t="s">
        <v>1041</v>
      </c>
    </row>
    <row r="33" spans="1:25">
      <c r="A33" t="s">
        <v>1125</v>
      </c>
      <c r="B33">
        <v>80</v>
      </c>
      <c r="V33" t="s">
        <v>1123</v>
      </c>
      <c r="W33" t="s">
        <v>1126</v>
      </c>
      <c r="X33" t="s">
        <v>1062</v>
      </c>
      <c r="Y33" t="s">
        <v>1127</v>
      </c>
    </row>
    <row r="34" spans="1:25">
      <c r="A34" t="s">
        <v>1128</v>
      </c>
      <c r="B34">
        <v>100</v>
      </c>
      <c r="J34" t="s">
        <v>1013</v>
      </c>
      <c r="V34" t="s">
        <v>1129</v>
      </c>
      <c r="W34" t="s">
        <v>1103</v>
      </c>
      <c r="X34" t="s">
        <v>1047</v>
      </c>
      <c r="Y34" t="s">
        <v>1048</v>
      </c>
    </row>
    <row r="35" spans="10:25">
      <c r="J35" t="s">
        <v>1108</v>
      </c>
      <c r="V35" t="s">
        <v>1129</v>
      </c>
      <c r="W35" t="s">
        <v>1130</v>
      </c>
      <c r="X35" t="s">
        <v>584</v>
      </c>
      <c r="Y35" t="s">
        <v>1131</v>
      </c>
    </row>
    <row r="36" spans="10:25">
      <c r="J36" t="s">
        <v>1132</v>
      </c>
      <c r="V36" t="s">
        <v>1133</v>
      </c>
      <c r="W36" t="s">
        <v>1106</v>
      </c>
      <c r="X36" t="s">
        <v>1052</v>
      </c>
      <c r="Y36" t="s">
        <v>1053</v>
      </c>
    </row>
    <row r="37" spans="1:25">
      <c r="A37" t="s">
        <v>1134</v>
      </c>
      <c r="J37" t="s">
        <v>1135</v>
      </c>
      <c r="V37" t="s">
        <v>1133</v>
      </c>
      <c r="W37" t="s">
        <v>1136</v>
      </c>
      <c r="X37" t="s">
        <v>1137</v>
      </c>
      <c r="Y37" t="s">
        <v>1138</v>
      </c>
    </row>
    <row r="38" spans="10:10">
      <c r="J38" t="s">
        <v>384</v>
      </c>
    </row>
    <row r="39" spans="10:23">
      <c r="J39" t="s">
        <v>1139</v>
      </c>
      <c r="V39" t="s">
        <v>1013</v>
      </c>
      <c r="W39" t="s">
        <v>1140</v>
      </c>
    </row>
    <row r="40" spans="22:23">
      <c r="V40" t="s">
        <v>1110</v>
      </c>
      <c r="W40" t="s">
        <v>1141</v>
      </c>
    </row>
    <row r="41" ht="15.6" spans="1:23">
      <c r="A41" s="1" t="s">
        <v>1142</v>
      </c>
      <c r="V41" t="s">
        <v>1116</v>
      </c>
      <c r="W41" t="s">
        <v>1143</v>
      </c>
    </row>
    <row r="42" spans="1:23">
      <c r="A42" t="s">
        <v>1144</v>
      </c>
      <c r="V42" t="s">
        <v>1123</v>
      </c>
      <c r="W42" t="s">
        <v>1145</v>
      </c>
    </row>
    <row r="43" spans="22:23">
      <c r="V43" t="s">
        <v>1129</v>
      </c>
      <c r="W43" t="s">
        <v>1146</v>
      </c>
    </row>
    <row r="44" spans="22:23">
      <c r="V44" t="s">
        <v>1133</v>
      </c>
      <c r="W44" t="s">
        <v>1147</v>
      </c>
    </row>
    <row r="47" spans="22:28">
      <c r="V47" t="s">
        <v>202</v>
      </c>
      <c r="W47" t="s">
        <v>1148</v>
      </c>
      <c r="X47" t="s">
        <v>1149</v>
      </c>
      <c r="Y47" t="s">
        <v>1016</v>
      </c>
      <c r="Z47" t="s">
        <v>1056</v>
      </c>
      <c r="AA47" t="s">
        <v>1150</v>
      </c>
      <c r="AB47" t="s">
        <v>1140</v>
      </c>
    </row>
    <row r="48" spans="22:28">
      <c r="V48" t="s">
        <v>1058</v>
      </c>
      <c r="W48" t="s">
        <v>1059</v>
      </c>
      <c r="X48" t="s">
        <v>1060</v>
      </c>
      <c r="Y48" t="s">
        <v>1061</v>
      </c>
      <c r="Z48" t="s">
        <v>1062</v>
      </c>
      <c r="AA48" t="s">
        <v>1063</v>
      </c>
      <c r="AB48" t="s">
        <v>1151</v>
      </c>
    </row>
    <row r="49" spans="22:28">
      <c r="V49" t="s">
        <v>1070</v>
      </c>
      <c r="W49" t="s">
        <v>1039</v>
      </c>
      <c r="X49" t="s">
        <v>1046</v>
      </c>
      <c r="Y49" t="s">
        <v>1071</v>
      </c>
      <c r="Z49" t="s">
        <v>1072</v>
      </c>
      <c r="AA49" t="s">
        <v>1053</v>
      </c>
      <c r="AB49" t="s">
        <v>1152</v>
      </c>
    </row>
    <row r="50" spans="22:28">
      <c r="V50" t="s">
        <v>1077</v>
      </c>
      <c r="W50" t="s">
        <v>1023</v>
      </c>
      <c r="X50" t="s">
        <v>1024</v>
      </c>
      <c r="Y50" t="s">
        <v>1078</v>
      </c>
      <c r="Z50" t="s">
        <v>1079</v>
      </c>
      <c r="AA50" t="s">
        <v>1080</v>
      </c>
      <c r="AB50" t="s">
        <v>1153</v>
      </c>
    </row>
    <row r="51" spans="22:28">
      <c r="V51" t="s">
        <v>1083</v>
      </c>
      <c r="W51" t="s">
        <v>1039</v>
      </c>
      <c r="X51" t="s">
        <v>1046</v>
      </c>
      <c r="Y51" t="s">
        <v>555</v>
      </c>
      <c r="Z51" t="s">
        <v>1084</v>
      </c>
      <c r="AA51" t="s">
        <v>1085</v>
      </c>
      <c r="AB51" t="s">
        <v>1154</v>
      </c>
    </row>
    <row r="52" spans="22:28">
      <c r="V52" t="s">
        <v>1087</v>
      </c>
      <c r="W52" t="s">
        <v>1023</v>
      </c>
      <c r="X52" t="s">
        <v>1024</v>
      </c>
      <c r="Y52" t="s">
        <v>1155</v>
      </c>
      <c r="Z52" t="s">
        <v>1088</v>
      </c>
      <c r="AA52" t="s">
        <v>1089</v>
      </c>
      <c r="AB52" t="s">
        <v>1156</v>
      </c>
    </row>
    <row r="54" spans="22:25">
      <c r="V54" t="s">
        <v>124</v>
      </c>
      <c r="W54" t="s">
        <v>1157</v>
      </c>
      <c r="X54" t="s">
        <v>1158</v>
      </c>
      <c r="Y54" t="s">
        <v>1159</v>
      </c>
    </row>
    <row r="55" spans="22:25">
      <c r="V55" t="s">
        <v>1111</v>
      </c>
      <c r="W55" t="s">
        <v>1160</v>
      </c>
      <c r="X55" t="s">
        <v>1161</v>
      </c>
      <c r="Y55" t="s">
        <v>1162</v>
      </c>
    </row>
    <row r="56" spans="22:25">
      <c r="V56" t="s">
        <v>1093</v>
      </c>
      <c r="W56" t="s">
        <v>1163</v>
      </c>
      <c r="X56" t="s">
        <v>1164</v>
      </c>
      <c r="Y56" t="s">
        <v>1165</v>
      </c>
    </row>
    <row r="57" spans="22:25">
      <c r="V57" t="s">
        <v>1166</v>
      </c>
      <c r="W57" t="s">
        <v>1141</v>
      </c>
      <c r="X57" t="s">
        <v>1167</v>
      </c>
      <c r="Y57" t="s">
        <v>1025</v>
      </c>
    </row>
    <row r="58" spans="22:25">
      <c r="V58" t="s">
        <v>1117</v>
      </c>
      <c r="W58" t="s">
        <v>1168</v>
      </c>
      <c r="X58" t="s">
        <v>1169</v>
      </c>
      <c r="Y58" t="s">
        <v>1035</v>
      </c>
    </row>
    <row r="59" spans="22:25">
      <c r="V59" t="s">
        <v>1119</v>
      </c>
      <c r="W59" t="s">
        <v>1170</v>
      </c>
      <c r="X59" t="s">
        <v>1171</v>
      </c>
      <c r="Y59" t="s">
        <v>1120</v>
      </c>
    </row>
    <row r="60" spans="22:25">
      <c r="V60" t="s">
        <v>1172</v>
      </c>
      <c r="W60" t="s">
        <v>1173</v>
      </c>
      <c r="X60" t="s">
        <v>1174</v>
      </c>
      <c r="Y60" t="s">
        <v>584</v>
      </c>
    </row>
    <row r="61" spans="22:25">
      <c r="V61" t="s">
        <v>1124</v>
      </c>
      <c r="W61" t="s">
        <v>1175</v>
      </c>
      <c r="X61" t="s">
        <v>1176</v>
      </c>
      <c r="Y61" t="s">
        <v>1177</v>
      </c>
    </row>
    <row r="62" spans="22:25">
      <c r="V62" t="s">
        <v>1126</v>
      </c>
      <c r="W62" t="s">
        <v>1178</v>
      </c>
      <c r="X62" t="s">
        <v>1179</v>
      </c>
      <c r="Y62" t="s">
        <v>1062</v>
      </c>
    </row>
    <row r="63" spans="22:25">
      <c r="V63" t="s">
        <v>1103</v>
      </c>
      <c r="W63" t="s">
        <v>1180</v>
      </c>
      <c r="X63" t="s">
        <v>1181</v>
      </c>
      <c r="Y63" t="s">
        <v>1047</v>
      </c>
    </row>
    <row r="64" spans="22:25">
      <c r="V64" t="s">
        <v>1130</v>
      </c>
      <c r="W64" t="s">
        <v>1182</v>
      </c>
      <c r="X64" t="s">
        <v>1183</v>
      </c>
      <c r="Y64" t="s">
        <v>584</v>
      </c>
    </row>
    <row r="65" spans="22:25">
      <c r="V65" t="s">
        <v>1106</v>
      </c>
      <c r="W65" t="s">
        <v>1053</v>
      </c>
      <c r="X65" t="s">
        <v>1184</v>
      </c>
      <c r="Y65" t="s">
        <v>1052</v>
      </c>
    </row>
    <row r="66" spans="22:25">
      <c r="V66" t="s">
        <v>1136</v>
      </c>
      <c r="W66" t="s">
        <v>1185</v>
      </c>
      <c r="X66" t="s">
        <v>1186</v>
      </c>
      <c r="Y66" t="s">
        <v>1137</v>
      </c>
    </row>
    <row r="67" spans="22:25">
      <c r="V67" t="s">
        <v>1187</v>
      </c>
      <c r="W67" t="s">
        <v>1188</v>
      </c>
      <c r="X67" t="s">
        <v>1189</v>
      </c>
      <c r="Y67" t="s">
        <v>1190</v>
      </c>
    </row>
    <row r="68" spans="22:25">
      <c r="V68" t="s">
        <v>1191</v>
      </c>
      <c r="W68" t="s">
        <v>1192</v>
      </c>
      <c r="X68" t="s">
        <v>1193</v>
      </c>
      <c r="Y68" t="s">
        <v>1194</v>
      </c>
    </row>
    <row r="70" spans="22:25">
      <c r="V70" t="s">
        <v>202</v>
      </c>
      <c r="W70" t="s">
        <v>1157</v>
      </c>
      <c r="X70" t="s">
        <v>1158</v>
      </c>
      <c r="Y70" t="s">
        <v>1159</v>
      </c>
    </row>
    <row r="71" spans="22:25">
      <c r="V71" t="s">
        <v>1058</v>
      </c>
      <c r="W71" t="s">
        <v>1063</v>
      </c>
      <c r="X71" t="s">
        <v>1195</v>
      </c>
      <c r="Y71" t="s">
        <v>1061</v>
      </c>
    </row>
    <row r="72" spans="22:25">
      <c r="V72" t="s">
        <v>1070</v>
      </c>
      <c r="W72" t="s">
        <v>1053</v>
      </c>
      <c r="X72" t="s">
        <v>1196</v>
      </c>
      <c r="Y72" t="s">
        <v>1071</v>
      </c>
    </row>
    <row r="73" spans="22:25">
      <c r="V73" t="s">
        <v>1077</v>
      </c>
      <c r="W73" t="s">
        <v>1197</v>
      </c>
      <c r="X73" t="s">
        <v>1198</v>
      </c>
      <c r="Y73" t="s">
        <v>1078</v>
      </c>
    </row>
    <row r="74" spans="22:25">
      <c r="V74" t="s">
        <v>1083</v>
      </c>
      <c r="W74" t="s">
        <v>1085</v>
      </c>
      <c r="X74" t="s">
        <v>1199</v>
      </c>
      <c r="Y74" t="s">
        <v>555</v>
      </c>
    </row>
    <row r="75" spans="22:25">
      <c r="V75" t="s">
        <v>1087</v>
      </c>
      <c r="W75" t="s">
        <v>1200</v>
      </c>
      <c r="X75" t="s">
        <v>1201</v>
      </c>
      <c r="Y75" t="s">
        <v>1155</v>
      </c>
    </row>
    <row r="76" spans="22:25">
      <c r="V76" t="s">
        <v>1202</v>
      </c>
      <c r="W76" t="s">
        <v>1203</v>
      </c>
      <c r="X76" t="s">
        <v>1204</v>
      </c>
      <c r="Y76" t="s">
        <v>1062</v>
      </c>
    </row>
    <row r="77" spans="22:25">
      <c r="V77" t="s">
        <v>1205</v>
      </c>
      <c r="W77" t="s">
        <v>1206</v>
      </c>
      <c r="X77" t="s">
        <v>1207</v>
      </c>
      <c r="Y77" t="s">
        <v>1208</v>
      </c>
    </row>
    <row r="78" spans="22:25">
      <c r="V78" t="s">
        <v>1209</v>
      </c>
      <c r="W78" t="s">
        <v>1210</v>
      </c>
      <c r="X78" t="s">
        <v>1211</v>
      </c>
      <c r="Y78" t="s">
        <v>587</v>
      </c>
    </row>
  </sheetData>
  <mergeCells count="1">
    <mergeCell ref="D30:F30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8:P16"/>
  <sheetViews>
    <sheetView workbookViewId="0">
      <selection activeCell="S35" sqref="S35"/>
    </sheetView>
  </sheetViews>
  <sheetFormatPr defaultColWidth="9" defaultRowHeight="14.4"/>
  <sheetData>
    <row r="8" spans="15:15">
      <c r="O8" t="s">
        <v>1212</v>
      </c>
    </row>
    <row r="10" spans="8:15">
      <c r="H10" t="s">
        <v>1213</v>
      </c>
      <c r="O10" t="s">
        <v>1214</v>
      </c>
    </row>
    <row r="11" spans="15:16">
      <c r="O11" t="s">
        <v>1215</v>
      </c>
      <c r="P11" t="s">
        <v>1216</v>
      </c>
    </row>
    <row r="12" spans="8:16">
      <c r="H12" t="s">
        <v>1215</v>
      </c>
      <c r="I12" t="s">
        <v>1028</v>
      </c>
      <c r="J12" t="s">
        <v>1217</v>
      </c>
      <c r="K12" t="s">
        <v>1218</v>
      </c>
      <c r="O12" t="s">
        <v>1219</v>
      </c>
      <c r="P12" t="s">
        <v>1220</v>
      </c>
    </row>
    <row r="13" spans="8:16">
      <c r="H13" t="s">
        <v>1219</v>
      </c>
      <c r="I13" t="s">
        <v>1221</v>
      </c>
      <c r="J13" t="s">
        <v>1222</v>
      </c>
      <c r="K13" t="s">
        <v>1223</v>
      </c>
      <c r="O13" t="s">
        <v>1224</v>
      </c>
      <c r="P13" t="s">
        <v>1225</v>
      </c>
    </row>
    <row r="14" spans="8:16">
      <c r="H14" t="s">
        <v>1224</v>
      </c>
      <c r="I14" t="s">
        <v>1226</v>
      </c>
      <c r="J14" t="s">
        <v>1227</v>
      </c>
      <c r="K14" t="s">
        <v>1228</v>
      </c>
      <c r="O14" t="s">
        <v>1229</v>
      </c>
      <c r="P14" t="s">
        <v>1230</v>
      </c>
    </row>
    <row r="15" spans="8:16">
      <c r="H15" t="s">
        <v>1229</v>
      </c>
      <c r="I15" t="s">
        <v>1231</v>
      </c>
      <c r="J15" t="s">
        <v>694</v>
      </c>
      <c r="K15" t="s">
        <v>1232</v>
      </c>
      <c r="O15" t="s">
        <v>1233</v>
      </c>
      <c r="P15" t="s">
        <v>1234</v>
      </c>
    </row>
    <row r="16" spans="8:15">
      <c r="H16" t="s">
        <v>1233</v>
      </c>
      <c r="I16" t="s">
        <v>1235</v>
      </c>
      <c r="J16" t="s">
        <v>1236</v>
      </c>
      <c r="K16" t="s">
        <v>1237</v>
      </c>
      <c r="O16" t="s">
        <v>1238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4:R53"/>
  <sheetViews>
    <sheetView workbookViewId="0">
      <selection activeCell="T13" sqref="T13"/>
    </sheetView>
  </sheetViews>
  <sheetFormatPr defaultColWidth="9" defaultRowHeight="14.4"/>
  <sheetData>
    <row r="4" spans="18:18">
      <c r="R4" t="s">
        <v>1239</v>
      </c>
    </row>
    <row r="5" spans="10:18">
      <c r="J5" t="s">
        <v>1240</v>
      </c>
      <c r="R5" t="s">
        <v>1241</v>
      </c>
    </row>
    <row r="6" spans="10:18">
      <c r="J6" t="s">
        <v>1242</v>
      </c>
      <c r="K6" t="s">
        <v>1243</v>
      </c>
      <c r="R6" t="s">
        <v>1244</v>
      </c>
    </row>
    <row r="7" spans="10:11">
      <c r="J7" t="s">
        <v>149</v>
      </c>
      <c r="K7" t="s">
        <v>1245</v>
      </c>
    </row>
    <row r="8" spans="10:11">
      <c r="J8" t="s">
        <v>150</v>
      </c>
      <c r="K8" t="s">
        <v>1246</v>
      </c>
    </row>
    <row r="9" spans="10:11">
      <c r="J9" t="s">
        <v>1247</v>
      </c>
      <c r="K9">
        <v>0</v>
      </c>
    </row>
    <row r="17" spans="10:10">
      <c r="J17" t="s">
        <v>1248</v>
      </c>
    </row>
    <row r="19" spans="10:10">
      <c r="J19" t="s">
        <v>1249</v>
      </c>
    </row>
    <row r="20" spans="10:12">
      <c r="J20" t="s">
        <v>96</v>
      </c>
      <c r="K20" t="s">
        <v>322</v>
      </c>
      <c r="L20" t="s">
        <v>1250</v>
      </c>
    </row>
    <row r="21" spans="10:12">
      <c r="J21" t="s">
        <v>123</v>
      </c>
      <c r="K21">
        <v>0.4</v>
      </c>
      <c r="L21">
        <v>0.24</v>
      </c>
    </row>
    <row r="22" spans="10:12">
      <c r="J22" t="s">
        <v>1251</v>
      </c>
      <c r="K22">
        <v>0.3</v>
      </c>
      <c r="L22">
        <v>0.18</v>
      </c>
    </row>
    <row r="23" spans="10:12">
      <c r="J23" t="s">
        <v>1252</v>
      </c>
      <c r="K23">
        <v>0.2</v>
      </c>
      <c r="L23">
        <v>0.12</v>
      </c>
    </row>
    <row r="24" spans="10:12">
      <c r="J24" t="s">
        <v>1253</v>
      </c>
      <c r="K24">
        <v>0.1</v>
      </c>
      <c r="L24">
        <v>0.06</v>
      </c>
    </row>
    <row r="25" spans="10:12">
      <c r="J25" t="s">
        <v>1254</v>
      </c>
      <c r="K25">
        <v>1</v>
      </c>
      <c r="L25">
        <v>0.6</v>
      </c>
    </row>
    <row r="26" spans="10:10">
      <c r="J26" t="s">
        <v>1255</v>
      </c>
    </row>
    <row r="29" spans="10:10">
      <c r="J29" t="s">
        <v>1256</v>
      </c>
    </row>
    <row r="31" spans="10:10">
      <c r="J31" t="s">
        <v>1257</v>
      </c>
    </row>
    <row r="32" spans="10:12">
      <c r="J32" t="s">
        <v>96</v>
      </c>
      <c r="K32" t="s">
        <v>322</v>
      </c>
      <c r="L32" t="s">
        <v>1250</v>
      </c>
    </row>
    <row r="33" spans="10:12">
      <c r="J33" t="s">
        <v>1258</v>
      </c>
      <c r="K33">
        <v>0.4</v>
      </c>
      <c r="L33">
        <v>0.2</v>
      </c>
    </row>
    <row r="34" spans="10:12">
      <c r="J34" t="s">
        <v>219</v>
      </c>
      <c r="K34">
        <v>0.3</v>
      </c>
      <c r="L34">
        <v>0.15</v>
      </c>
    </row>
    <row r="35" spans="10:12">
      <c r="J35" t="s">
        <v>210</v>
      </c>
      <c r="K35">
        <v>0.2</v>
      </c>
      <c r="L35">
        <v>0.1</v>
      </c>
    </row>
    <row r="36" spans="10:12">
      <c r="J36" t="s">
        <v>1259</v>
      </c>
      <c r="K36">
        <v>0.1</v>
      </c>
      <c r="L36">
        <v>0.05</v>
      </c>
    </row>
    <row r="37" spans="10:12">
      <c r="J37" t="s">
        <v>1254</v>
      </c>
      <c r="K37">
        <v>1</v>
      </c>
      <c r="L37">
        <v>0.5</v>
      </c>
    </row>
    <row r="38" spans="10:10">
      <c r="J38" t="s">
        <v>1260</v>
      </c>
    </row>
    <row r="41" spans="10:10">
      <c r="J41" t="s">
        <v>1261</v>
      </c>
    </row>
    <row r="43" spans="10:10">
      <c r="J43" t="s">
        <v>1262</v>
      </c>
    </row>
    <row r="44" spans="10:10">
      <c r="J44" t="s">
        <v>1263</v>
      </c>
    </row>
    <row r="46" spans="10:12">
      <c r="J46" t="s">
        <v>96</v>
      </c>
      <c r="K46" t="s">
        <v>322</v>
      </c>
      <c r="L46" t="s">
        <v>92</v>
      </c>
    </row>
    <row r="47" spans="10:12">
      <c r="J47" t="s">
        <v>1264</v>
      </c>
      <c r="K47">
        <v>0.3</v>
      </c>
      <c r="L47" t="s">
        <v>1265</v>
      </c>
    </row>
    <row r="48" spans="10:12">
      <c r="J48" t="s">
        <v>1266</v>
      </c>
      <c r="K48">
        <v>0.2</v>
      </c>
      <c r="L48" t="s">
        <v>1267</v>
      </c>
    </row>
    <row r="49" spans="10:12">
      <c r="J49" t="s">
        <v>1268</v>
      </c>
      <c r="K49">
        <v>0.25</v>
      </c>
      <c r="L49" t="s">
        <v>1269</v>
      </c>
    </row>
    <row r="50" spans="10:12">
      <c r="J50" t="s">
        <v>202</v>
      </c>
      <c r="K50">
        <v>0.15</v>
      </c>
      <c r="L50" t="s">
        <v>1032</v>
      </c>
    </row>
    <row r="51" spans="10:12">
      <c r="J51" t="s">
        <v>330</v>
      </c>
      <c r="K51">
        <v>0.1</v>
      </c>
      <c r="L51" t="s">
        <v>1270</v>
      </c>
    </row>
    <row r="52" spans="10:12">
      <c r="J52" t="s">
        <v>125</v>
      </c>
      <c r="K52" t="s">
        <v>1271</v>
      </c>
      <c r="L52" t="s">
        <v>1272</v>
      </c>
    </row>
    <row r="53" spans="10:10">
      <c r="J53" t="s">
        <v>1273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"/>
  <sheetViews>
    <sheetView workbookViewId="0">
      <selection activeCell="A1" sqref="A1:E1"/>
    </sheetView>
  </sheetViews>
  <sheetFormatPr defaultColWidth="9" defaultRowHeight="14.4" outlineLevelCol="1"/>
  <sheetData>
    <row r="1" spans="2:2">
      <c r="B1" t="s">
        <v>1274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Sheet1</vt:lpstr>
      <vt:lpstr>属性说明  </vt:lpstr>
      <vt:lpstr>属性</vt:lpstr>
      <vt:lpstr>装备</vt:lpstr>
      <vt:lpstr>流派</vt:lpstr>
      <vt:lpstr>宠物与坐骑</vt:lpstr>
      <vt:lpstr>天赋系统</vt:lpstr>
      <vt:lpstr>属性来源预算比例</vt:lpstr>
      <vt:lpstr>神器与法宝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易大师</cp:lastModifiedBy>
  <dcterms:created xsi:type="dcterms:W3CDTF">2026-08-18T10:09:00Z</dcterms:created>
  <dcterms:modified xsi:type="dcterms:W3CDTF">2026-08-27T07:51:05Z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5F5CA8703FC04E41AA88AF2B85347370_11</vt:lpwstr>
  </property>
  <property fmtid="{D5CDD505-2E9C-101B-9397-08002B2CF9AE}" pid="3" name="KSOProductBuildVer">
    <vt:lpwstr>2052-11.8.2.8411</vt:lpwstr>
  </property>
  <property fmtid="{D5CDD505-2E9C-101B-9397-08002B2CF9AE}" pid="4" name="CalculationRule">
    <vt:i4>1</vt:i4>
  </property>
</Properties>
</file>