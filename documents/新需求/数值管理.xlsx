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Width="19200" windowHeight="17655" firstSheet="1" activeTab="8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<sst xmlns="http://schemas.openxmlformats.org/spreadsheetml/2006/main" count="999" uniqueCount="538">
  <si>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</si>
  <si>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</si>
  <si>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</si>
  <si>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</si>
  <si>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</si>
  <si>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</si>
  <si>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</si>
  <si>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</si>
  <si>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</si>
  <si>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</si>
  <si>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</si>
  <si>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</si>
  <si>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</si>
  <si>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</si>
  <si>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</si>
  <si>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</si>
  <si>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</si>
  <si>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</si>
  <si>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</si>
  <si>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</si>
  <si>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</si>
  <si>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</si>
  <si>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</si>
  <si>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</si>
  <si>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</si>
  <si>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</si>
  <si>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</si>
  <si>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</si>
  <si>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</si>
  <si>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</si>
  <si>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</si>
  <si>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</si>
  <si>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</si>
  <si>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</si>
  <si>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</si>
  <si>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</si>
  <si>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</si>
  <si>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</si>
  <si>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</si>
  <si>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</si>
  <si>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</si>
  <si>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</si>
  <si>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</si>
  <si>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</si>
  <si>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</si>
  <si>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</si>
  <si>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</si>
  <si>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</si>
  <si>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</si>
  <si>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</si>
  <si>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</si>
  <si>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</si>
  <si>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</si>
  <si>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</si>
  <si>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</si>
  <si>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</si>
  <si>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</si>
  <si>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</si>
  <si>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</si>
  <si>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</si>
  <si>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</si>
  <si>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</si>
  <si>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</si>
  <si>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</si>
  <si>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</si>
  <si>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</si>
  <si>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</si>
  <si>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</si>
  <si>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</si>
  <si>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</si>
  <si>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</si>
  <si>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</si>
  <si>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</si>
  <si>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</si>
  <si>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</si>
  <si>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</si>
  <si>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</si>
  <si>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</si>
  <si>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</si>
  <si>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</si>
  <si>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</si>
  <si>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</si>
  <si>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</si>
  <si>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</si>
  <si>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数值类型</t>
  </si>
  <si>
    <t>说明</t>
  </si>
  <si>
    <t>总投放数值</t>
  </si>
  <si>
    <t>来源</t>
  </si>
  <si>
    <t>气血</t>
  </si>
  <si>
    <t>数值</t>
  </si>
  <si>
    <t>角色生命值，归零即退场。</t>
  </si>
  <si>
    <t>攻击</t>
  </si>
  <si>
    <t>伤害计算基数，越高伤害越高。</t>
  </si>
  <si>
    <t>防御</t>
  </si>
  <si>
    <t>抵扣受到的伤害，越高受伤越低。</t>
  </si>
  <si>
    <t>命中</t>
  </si>
  <si>
    <t>攻击命中判定的基础值，对抗目标闪避值。</t>
  </si>
  <si>
    <t>闪避</t>
  </si>
  <si>
    <t>闪避判定的基础值，对抗目标命中值。</t>
  </si>
  <si>
    <t>速度</t>
  </si>
  <si>
    <t>决定每回合行动顺序，高者先动。</t>
  </si>
  <si>
    <t>气血加成</t>
  </si>
  <si>
    <t>百分比</t>
  </si>
  <si>
    <t>按百分比提高气血。</t>
  </si>
  <si>
    <t>攻击加成</t>
  </si>
  <si>
    <t>按百分比提高攻击。</t>
  </si>
  <si>
    <t>防御加成</t>
  </si>
  <si>
    <t>按百分比提高防御。</t>
  </si>
  <si>
    <t>命中加成</t>
  </si>
  <si>
    <t>按百分比提高命中。</t>
  </si>
  <si>
    <t>闪避加成</t>
  </si>
  <si>
    <t>按百分比提高闪避。</t>
  </si>
  <si>
    <t>速度加成</t>
  </si>
  <si>
    <t>按百分比提高速度。</t>
  </si>
  <si>
    <t>气血系数</t>
  </si>
  <si>
    <t>对气血进行独立乘区放大。</t>
  </si>
  <si>
    <t>攻击系数</t>
  </si>
  <si>
    <t>对攻击进行独立乘区放大。</t>
  </si>
  <si>
    <t>防御系数</t>
  </si>
  <si>
    <t>对防御进行独立乘区放大。</t>
  </si>
  <si>
    <t>命中系数</t>
  </si>
  <si>
    <t>对命中进行独立乘区放大。</t>
  </si>
  <si>
    <t>闪避系数</t>
  </si>
  <si>
    <t>对闪避进行独立乘区放大。</t>
  </si>
  <si>
    <t>速度系数</t>
  </si>
  <si>
    <t>对速度进行独立乘区放大。</t>
  </si>
  <si>
    <t>最终攻击</t>
  </si>
  <si>
    <t>最终层提高攻击，不被任何乘区稀释。</t>
  </si>
  <si>
    <t>最终防御</t>
  </si>
  <si>
    <t>最终层提高防御，不被任何乘区稀释</t>
  </si>
  <si>
    <t>触发暴击的概率。</t>
  </si>
  <si>
    <t>武器</t>
  </si>
  <si>
    <t>流派</t>
  </si>
  <si>
    <t>暴击时的伤害倍率，基础通常为150%。</t>
  </si>
  <si>
    <t>攻击后追加额外攻击段的概率。</t>
  </si>
  <si>
    <t>真伤率</t>
  </si>
  <si>
    <t>将伤害基数的一定比例转化为无视防御的真实伤害。</t>
  </si>
  <si>
    <t>真伤附加值</t>
  </si>
  <si>
    <t>额外附加的固定真实伤害，不随倍率放大。</t>
  </si>
  <si>
    <t>伤害加成</t>
  </si>
  <si>
    <t>按百分比提高造成的所有伤害。</t>
  </si>
  <si>
    <t>普攻加成</t>
  </si>
  <si>
    <t>仅按百分比提高普攻伤害。</t>
  </si>
  <si>
    <t>技能加成</t>
  </si>
  <si>
    <t>仅按百分比提高技能伤害。</t>
  </si>
  <si>
    <t>反击伤害加成</t>
  </si>
  <si>
    <t>仅按百分比提高反击的伤害。</t>
  </si>
  <si>
    <t>伤害系数</t>
  </si>
  <si>
    <t>对造成的伤害进行独立乘区放大。</t>
  </si>
  <si>
    <t>反击伤害系数</t>
  </si>
  <si>
    <t>独立放大反击段的伤害。</t>
  </si>
  <si>
    <t>连击伤害系数</t>
  </si>
  <si>
    <t>独立放大连击段的伤害。</t>
  </si>
  <si>
    <t>真伤系数</t>
  </si>
  <si>
    <t>独立放大真实伤害。</t>
  </si>
  <si>
    <t>最终伤害提升</t>
  </si>
  <si>
    <t>最终层提高造成的伤害。</t>
  </si>
  <si>
    <t>护盾</t>
  </si>
  <si>
    <t>独立于气血的白字血量，优先吸收伤害。</t>
  </si>
  <si>
    <t>按百分比减少受到的伤害。</t>
  </si>
  <si>
    <t>将受到伤害的一定比例反弹给攻击者。</t>
  </si>
  <si>
    <t>气血回复(%)</t>
  </si>
  <si>
    <t>每回合按最大气血百分比回复。</t>
  </si>
  <si>
    <t>气血回复(固定)</t>
  </si>
  <si>
    <t>每回合回复固定气血值。</t>
  </si>
  <si>
    <t>免伤系数</t>
  </si>
  <si>
    <t>独立放大免伤效果。</t>
  </si>
  <si>
    <t>最终伤害减免</t>
  </si>
  <si>
    <t>最终层减少受到的伤害。</t>
  </si>
  <si>
    <t>甲+10%+5%</t>
  </si>
  <si>
    <t>头+5%+5%</t>
  </si>
  <si>
    <t>鞋+5%+5%</t>
  </si>
  <si>
    <t>坐骑+10%</t>
  </si>
  <si>
    <t>流派+15%</t>
  </si>
  <si>
    <t>直接提高最终命中概率，对抗目标闪避率。</t>
  </si>
  <si>
    <t>武器18%+12%</t>
  </si>
  <si>
    <t>戒指8%</t>
  </si>
  <si>
    <t>饰品8%</t>
  </si>
  <si>
    <t>宠物8%</t>
  </si>
  <si>
    <t>流派16</t>
  </si>
  <si>
    <t>直接降低敌方对自己的最终命中概率。</t>
  </si>
  <si>
    <t>甲+8%+8%</t>
  </si>
  <si>
    <t>头+6%+6%</t>
  </si>
  <si>
    <t>鞋+10%+10%</t>
  </si>
  <si>
    <t>坐骑+12%</t>
  </si>
  <si>
    <t>流派+16%</t>
  </si>
  <si>
    <t>降低敌方对自己的暴击率。</t>
  </si>
  <si>
    <t>流派+10%</t>
  </si>
  <si>
    <t>降低敌方对自己的暴击伤害。</t>
  </si>
  <si>
    <t>甲+24%+12%</t>
  </si>
  <si>
    <t>头+8%+8%</t>
  </si>
  <si>
    <t>鞋+8%+8%</t>
  </si>
  <si>
    <t>流派+12%</t>
  </si>
  <si>
    <t>真伤抗性</t>
  </si>
  <si>
    <t>减少受到的真实伤害。</t>
  </si>
  <si>
    <t>甲+12%+6%</t>
  </si>
  <si>
    <t>鞋+6%+6%</t>
  </si>
  <si>
    <t>普攻抵抗</t>
  </si>
  <si>
    <t>减少受到的普攻伤害。</t>
  </si>
  <si>
    <t>技能抵抗</t>
  </si>
  <si>
    <t>减少受到的技能伤害。</t>
  </si>
  <si>
    <t>降低被敌方控制的概率。</t>
  </si>
  <si>
    <t>效果抵抗</t>
  </si>
  <si>
    <t>降低被敌方减益/异常状态命中的概率。</t>
  </si>
  <si>
    <t>将一定比例伤害转化为对应五行属性伤害。</t>
  </si>
  <si>
    <t>减少受到的对应五行属性伤害。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</si>
  <si>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</si>
  <si>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</si>
  <si>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</si>
  <si>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</si>
  <si>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</si>
  <si>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</si>
  <si>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</si>
  <si>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初始能量%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</si>
  <si>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</si>
  <si>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</si>
  <si>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</si>
  <si>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</si>
  <si>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</si>
  <si>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</si>
  <si>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</si>
  <si>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</si>
  <si>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</si>
  <si>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</si>
  <si>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</si>
  <si>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</si>
  <si>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</si>
  <si>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</si>
  <si>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</si>
  <si>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</si>
  <si>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伤害反弹加成%</t>
  </si>
  <si>
    <t>放大反弹伤害的数值。</t>
  </si>
  <si>
    <t>伤害反弹削减%</t>
  </si>
  <si>
    <t>降低目标反弹伤害的数值。</t>
  </si>
  <si>
    <t>武器12%+6%</t>
  </si>
  <si>
    <t>戒指6%</t>
  </si>
  <si>
    <t>饰品6%</t>
  </si>
  <si>
    <t>宠物6%</t>
  </si>
  <si>
    <t>流派12%</t>
  </si>
  <si>
    <t>吸血效果加成%</t>
  </si>
  <si>
    <t>放大吸血回复量。</t>
  </si>
  <si>
    <t>吸血效果削减%</t>
  </si>
  <si>
    <t>降低目标吸血的回复量。</t>
  </si>
  <si>
    <t>治疗强度加成%</t>
  </si>
  <si>
    <t>放大提供的治疗效果。</t>
  </si>
  <si>
    <t>治疗强度削减%</t>
  </si>
  <si>
    <t>降低目标受到的治疗效果。</t>
  </si>
  <si>
    <t>层级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</si>
  <si>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</si>
  <si>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</si>
  <si>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</si>
  <si>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</si>
  <si>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</si>
  <si>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</si>
  <si>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</si>
  <si>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</si>
  <si>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</si>
  <si>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</si>
  <si>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</si>
  <si>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</si>
  <si>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</si>
  <si>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</si>
  <si>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</si>
  <si>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</si>
  <si>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</si>
  <si>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</si>
  <si>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</si>
  <si>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</si>
  <si>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</si>
  <si>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</si>
  <si>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</si>
  <si>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</si>
  <si>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A</t>
  </si>
  <si>
    <t>基础-20</t>
  </si>
  <si>
    <t>L1</t>
  </si>
  <si>
    <t>L2</t>
  </si>
  <si>
    <t>L3</t>
  </si>
  <si>
    <t>L4</t>
  </si>
  <si>
    <t>总属性点</t>
  </si>
  <si>
    <t>权重</t>
  </si>
  <si>
    <t>占比</t>
  </si>
  <si>
    <t>提供属性</t>
  </si>
  <si>
    <t>属性A</t>
  </si>
  <si>
    <t>B</t>
  </si>
  <si>
    <t>属性A B C D E F + 属性增幅</t>
  </si>
  <si>
    <t>输出-14</t>
  </si>
  <si>
    <t>技能 + 特性 + 属性增幅</t>
  </si>
  <si>
    <t>属性A B C D E F + 独立乘区</t>
  </si>
  <si>
    <t>属性 B C D E F + 最终乘区 + 特性</t>
  </si>
  <si>
    <t>总属性点:</t>
  </si>
  <si>
    <t>C</t>
  </si>
  <si>
    <t>生存-7</t>
  </si>
  <si>
    <t>D</t>
  </si>
  <si>
    <t>对抗-10</t>
  </si>
  <si>
    <t>E</t>
  </si>
  <si>
    <t>五行-2</t>
  </si>
  <si>
    <t>F</t>
  </si>
  <si>
    <t>机制-5</t>
  </si>
  <si>
    <t>效果命中</t>
  </si>
  <si>
    <t>初始能量</t>
  </si>
  <si>
    <t>能量获取效率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</si>
  <si>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</si>
  <si>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</si>
  <si>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</si>
  <si>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</si>
  <si>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</si>
  <si>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</si>
  <si>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</si>
  <si>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</si>
  <si>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</si>
  <si>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</si>
  <si>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</si>
  <si>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</si>
  <si>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</si>
  <si>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</si>
  <si>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</si>
  <si>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</si>
  <si>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</si>
  <si>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</si>
  <si>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</si>
  <si>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</si>
  <si>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</si>
  <si>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</si>
  <si>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</si>
  <si>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</si>
  <si>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</si>
  <si>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</si>
  <si>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</si>
  <si>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</si>
  <si>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</si>
  <si>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</si>
  <si>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</si>
  <si>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</si>
  <si>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</si>
  <si>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</si>
  <si>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</si>
  <si>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</si>
  <si>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</si>
  <si>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</si>
  <si>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</si>
  <si>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</si>
  <si>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</si>
  <si>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</si>
  <si>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</si>
  <si>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</si>
  <si>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</si>
  <si>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</si>
  <si>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</si>
  <si>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</si>
  <si>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</si>
  <si>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</si>
  <si>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</si>
  <si>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</si>
  <si>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</si>
  <si>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</si>
  <si>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</si>
  <si>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</si>
  <si>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</si>
  <si>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</si>
  <si>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</si>
  <si>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</si>
  <si>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附加属性</t>
  </si>
  <si>
    <t>玄品</t>
  </si>
  <si>
    <t>精</t>
  </si>
  <si>
    <t>连击率%</t>
  </si>
  <si>
    <t>地品</t>
  </si>
  <si>
    <t>超</t>
  </si>
  <si>
    <t>天品</t>
  </si>
  <si>
    <t>绝</t>
  </si>
  <si>
    <t>暴击率，暴伤</t>
  </si>
  <si>
    <t>真伤</t>
  </si>
  <si>
    <t>仙品</t>
  </si>
  <si>
    <t>神</t>
  </si>
  <si>
    <t>免伤</t>
  </si>
  <si>
    <t>基础属性</t>
  </si>
  <si>
    <t>护符</t>
  </si>
  <si>
    <t>流派树属性归属</t>
  </si>
  <si>
    <t>少量副属性</t>
  </si>
  <si>
    <t>不建议属性</t>
  </si>
  <si>
    <t>连击流</t>
  </si>
  <si>
    <t>连击率、命中率、速度</t>
  </si>
  <si>
    <t>攻击%、伤害提升%</t>
  </si>
  <si>
    <t>护盾、反伤、免伤主属性</t>
  </si>
  <si>
    <t>暴伤流</t>
  </si>
  <si>
    <t>暴击率、暴击伤害、真实伤害率、伤害提升%</t>
  </si>
  <si>
    <t>攻击%、命中率</t>
  </si>
  <si>
    <t>闪避率、反击率、护盾</t>
  </si>
  <si>
    <t>护盾反伤流</t>
  </si>
  <si>
    <t>护盾强度、伤害反弹、免伤率、控制豁免</t>
  </si>
  <si>
    <t>防御%、气血%</t>
  </si>
  <si>
    <t>暴击率、连击率、速度主属性</t>
  </si>
  <si>
    <t>闪避流</t>
  </si>
  <si>
    <t>闪避率、速度、反击率</t>
  </si>
  <si>
    <t>命中率、闪避值</t>
  </si>
  <si>
    <t>暴伤、真伤、护盾主属性</t>
  </si>
  <si>
    <t>五行流</t>
  </si>
  <si>
    <t>五行攻击%、控制成功率、五行抗性%</t>
  </si>
  <si>
    <t>伤害提升%、命中</t>
  </si>
  <si>
    <t>物理暴击主属性、反伤主属性</t>
  </si>
  <si>
    <t>流派树节点收窄</t>
  </si>
  <si>
    <t>节点类型</t>
  </si>
  <si>
    <t>作用</t>
  </si>
  <si>
    <t>小节点</t>
  </si>
  <si>
    <t>只给本流派相关属性</t>
  </si>
  <si>
    <t>中节点</t>
  </si>
  <si>
    <t>强化本流派机制</t>
  </si>
  <si>
    <t>大节点</t>
  </si>
  <si>
    <t>改变玩法或提供独立乘区</t>
  </si>
  <si>
    <t>终极节点</t>
  </si>
  <si>
    <t>提供流派质变，但不给最终乘区</t>
  </si>
  <si>
    <t>例如：</t>
  </si>
  <si>
    <t>终极节点示例</t>
  </si>
  <si>
    <t>连击第3段后附加破甲，独立伤害+10%</t>
  </si>
  <si>
    <t>暴击后目标获得破绽，暴伤独立+15%</t>
  </si>
  <si>
    <t>护盾破碎后获得怒目，反伤独立+30%</t>
  </si>
  <si>
    <t>闪避成功后下次反击必中并致盲</t>
  </si>
  <si>
    <t>五行异常触发率+10%，异常目标受五行伤害独立+12%</t>
  </si>
  <si>
    <t>宠物属性收窄</t>
  </si>
  <si>
    <t>宠物偏五行、异常、输出条件。</t>
  </si>
  <si>
    <t>坐骑属性收窄</t>
  </si>
  <si>
    <t>坐骑偏速度、生存、对抗、韧性。</t>
  </si>
  <si>
    <t>宠物属性类别</t>
  </si>
  <si>
    <t>是否推荐</t>
  </si>
  <si>
    <t>坐骑属性类别</t>
  </si>
  <si>
    <t>少量A基础属性</t>
  </si>
  <si>
    <t>推荐</t>
  </si>
  <si>
    <t>作为宠物等级成长</t>
  </si>
  <si>
    <t>强烈推荐</t>
  </si>
  <si>
    <t>坐骑核心</t>
  </si>
  <si>
    <t>宠物核心</t>
  </si>
  <si>
    <t>用于异常触发</t>
  </si>
  <si>
    <t>坐骑可承担生存</t>
  </si>
  <si>
    <t>独立条件乘区</t>
  </si>
  <si>
    <t>宠物核心差异</t>
  </si>
  <si>
    <t>坐骑可承担对抗</t>
  </si>
  <si>
    <t>暴击率/暴伤</t>
  </si>
  <si>
    <t>不推荐</t>
  </si>
  <si>
    <t>会污染输出属性来源</t>
  </si>
  <si>
    <t>应留给饰品和天赋</t>
  </si>
  <si>
    <t>适合敏型坐骑</t>
  </si>
  <si>
    <t>免伤/护盾/反伤</t>
  </si>
  <si>
    <t>只适合特定守护型宠物</t>
  </si>
  <si>
    <t>适合战马类坐骑</t>
  </si>
  <si>
    <t>反击率/吸血率</t>
  </si>
  <si>
    <t>应留给鞋子和武器</t>
  </si>
  <si>
    <t>避免坐骑抢输出系统职责</t>
  </si>
  <si>
    <t>留给饰品和天赋</t>
  </si>
  <si>
    <t>留给宠物和五行系统</t>
  </si>
  <si>
    <t>推荐属性</t>
  </si>
  <si>
    <t>疾风马</t>
  </si>
  <si>
    <t>速度、闪避率、速度高于目标时闪避+5%</t>
  </si>
  <si>
    <t>火鸦</t>
  </si>
  <si>
    <t>火属性攻击%、灼烧触发率、攻击灼烧目标独立+8%</t>
  </si>
  <si>
    <t>玄龟</t>
  </si>
  <si>
    <t>气血、免伤率、护盾存在时免伤独立+6%</t>
  </si>
  <si>
    <t>水蛟</t>
  </si>
  <si>
    <t>水属性攻击%、迟缓触发率、对低速目标独立+8%</t>
  </si>
  <si>
    <t>战虎</t>
  </si>
  <si>
    <t>速度、反击率、被攻击后反击率+8%</t>
  </si>
  <si>
    <t>金猊</t>
  </si>
  <si>
    <t>金属性攻击%、破甲触发率、对高防目标独立+10%</t>
  </si>
  <si>
    <t>白象</t>
  </si>
  <si>
    <t>控制豁免、暴击抵抗、受控制后获得1回合减伤</t>
  </si>
  <si>
    <t>木灵</t>
  </si>
  <si>
    <t>木属性攻击%、禁疗触发率、对回复目标独立+8%</t>
  </si>
  <si>
    <t>火麒麟</t>
  </si>
  <si>
    <t>少量速度、火属性抗性、对灼烧目标独立减伤</t>
  </si>
  <si>
    <t>土熊</t>
  </si>
  <si>
    <t>土属性攻击%、护盾存在时免伤独立+6%</t>
  </si>
  <si>
    <t>成长</t>
  </si>
  <si>
    <t>初生期</t>
  </si>
  <si>
    <t>少量A类属性</t>
  </si>
  <si>
    <t>幼年期</t>
  </si>
  <si>
    <t>成长期</t>
  </si>
  <si>
    <t>成熟期</t>
  </si>
  <si>
    <t>完全体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</si>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</sst>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sz val="10.5"/>
      <color rgb="FF222222"/>
      <name val="Arial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:Z63"/>
  <sheetViews>
    <sheetView topLeftCell="A25" workbookViewId="0">
      <selection activeCell="H32" sqref="H32:M51"/>
    </sheetView>
  </sheetViews>
  <sheetFormatPr defaultColWidth="9" defaultRowHeight="13.5"/>
  <cols>
    <col min="8" max="8" width="16.6666666666667" customWidth="1"/>
    <col min="9" max="9" width="31.1083333333333" customWidth="1"/>
    <col min="10" max="13" width="16.6666666666667" customWidth="1"/>
  </cols>
  <sheetData>
    <row r="16" spans="4:4">
      <c r="D16" s="14"/>
    </row>
    <row r="31" spans="8:26">
      <c r="H31" s="2" t="s">
        <v>0</v>
      </c>
      <c r="I31" s="2"/>
      <c r="J31" s="2"/>
      <c r="K31" s="2"/>
      <c r="L31" s="2"/>
      <c r="M31" s="2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>
      <c r="H32" s="15" t="s">
        <v>9</v>
      </c>
      <c r="I32" s="15" t="s">
        <v>10</v>
      </c>
      <c r="J32" s="15" t="s">
        <v>11</v>
      </c>
      <c r="K32" s="15" t="s">
        <v>12</v>
      </c>
      <c r="L32" s="15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>
      <c r="H39" s="2" t="s">
        <v>40</v>
      </c>
      <c r="I39" s="2"/>
      <c r="J39" s="2"/>
      <c r="K39" s="2"/>
      <c r="L39" s="2"/>
      <c r="M39" s="2"/>
    </row>
    <row r="40" spans="8:26">
      <c r="H40" s="15" t="s">
        <v>9</v>
      </c>
      <c r="I40" s="15" t="s">
        <v>10</v>
      </c>
      <c r="J40" s="15" t="s">
        <v>11</v>
      </c>
      <c r="K40" s="15" t="s">
        <v>12</v>
      </c>
      <c r="L40" s="15"/>
    </row>
    <row r="41" spans="8:26">
      <c r="H41" t="s">
        <v>41</v>
      </c>
      <c r="I41" t="s">
        <v>42</v>
      </c>
      <c r="J41" t="s">
        <v>43</v>
      </c>
      <c r="K41" t="s">
        <v>44</v>
      </c>
    </row>
    <row r="42" spans="8:26">
      <c r="H42" t="s">
        <v>45</v>
      </c>
      <c r="I42" t="s">
        <v>42</v>
      </c>
      <c r="J42" t="s">
        <v>35</v>
      </c>
      <c r="K42" t="s">
        <v>46</v>
      </c>
    </row>
    <row r="43" spans="8:26">
      <c r="H43" t="s">
        <v>47</v>
      </c>
      <c r="I43" t="s">
        <v>48</v>
      </c>
      <c r="J43" t="s">
        <v>49</v>
      </c>
      <c r="K43" t="s">
        <v>50</v>
      </c>
    </row>
    <row r="44" spans="8:26">
      <c r="H44" t="s">
        <v>51</v>
      </c>
      <c r="I44" t="s">
        <v>48</v>
      </c>
      <c r="J44" t="s">
        <v>52</v>
      </c>
      <c r="K44" t="s">
        <v>53</v>
      </c>
    </row>
    <row r="45" spans="8:26">
      <c r="H45" t="s">
        <v>54</v>
      </c>
      <c r="I45" t="s">
        <v>55</v>
      </c>
      <c r="J45" t="s">
        <v>56</v>
      </c>
      <c r="K45" t="s">
        <v>57</v>
      </c>
    </row>
    <row r="47" spans="8:26">
      <c r="H47" s="2" t="s">
        <v>58</v>
      </c>
      <c r="I47" s="2"/>
      <c r="J47" s="2"/>
      <c r="K47" s="2"/>
      <c r="L47" s="2"/>
      <c r="M47" s="2"/>
    </row>
    <row r="48" spans="8:26">
      <c r="H48" s="15" t="s">
        <v>9</v>
      </c>
      <c r="I48" s="15" t="s">
        <v>10</v>
      </c>
      <c r="J48" s="15" t="s">
        <v>11</v>
      </c>
      <c r="K48" s="15" t="s">
        <v>12</v>
      </c>
      <c r="L48" s="15"/>
    </row>
    <row r="49" spans="8:13">
      <c r="H49" t="s">
        <v>59</v>
      </c>
      <c r="I49" t="s">
        <v>60</v>
      </c>
      <c r="J49" t="s">
        <v>61</v>
      </c>
      <c r="K49" t="s">
        <v>19</v>
      </c>
    </row>
    <row r="50" spans="8:13">
      <c r="H50" t="s">
        <v>62</v>
      </c>
      <c r="I50" t="s">
        <v>63</v>
      </c>
      <c r="J50" t="s">
        <v>64</v>
      </c>
      <c r="K50" t="s">
        <v>65</v>
      </c>
    </row>
    <row r="51" spans="8:13">
      <c r="H51" t="s">
        <v>66</v>
      </c>
      <c r="I51" t="s">
        <v>42</v>
      </c>
      <c r="J51" t="s">
        <v>35</v>
      </c>
      <c r="K51" t="s">
        <v>57</v>
      </c>
    </row>
    <row r="52" spans="8:13">
      <c r="H52" t="s">
        <v>67</v>
      </c>
      <c r="I52" t="s">
        <v>42</v>
      </c>
      <c r="J52" t="s">
        <v>35</v>
      </c>
      <c r="K52" t="s">
        <v>57</v>
      </c>
    </row>
    <row r="54" spans="8:13">
      <c r="H54" s="2" t="s">
        <v>68</v>
      </c>
      <c r="I54" s="2"/>
      <c r="J54" s="2"/>
      <c r="K54" s="2"/>
      <c r="L54" s="2"/>
      <c r="M54" s="2"/>
    </row>
    <row r="55" spans="8:13">
      <c r="H55" s="15" t="s">
        <v>9</v>
      </c>
      <c r="I55" s="15" t="s">
        <v>10</v>
      </c>
      <c r="J55" s="15" t="s">
        <v>11</v>
      </c>
      <c r="K55" s="15" t="s">
        <v>12</v>
      </c>
      <c r="L55" s="15"/>
    </row>
    <row r="56" spans="8:13">
      <c r="H56" t="s">
        <v>69</v>
      </c>
      <c r="I56" t="s">
        <v>70</v>
      </c>
      <c r="J56" t="s">
        <v>71</v>
      </c>
      <c r="K56" t="s">
        <v>19</v>
      </c>
    </row>
    <row r="57" spans="8:13">
      <c r="H57" t="s">
        <v>72</v>
      </c>
      <c r="I57" t="s">
        <v>73</v>
      </c>
      <c r="J57" t="s">
        <v>74</v>
      </c>
      <c r="K57" t="s">
        <v>75</v>
      </c>
    </row>
    <row r="59" spans="8:13">
      <c r="H59" s="2" t="s">
        <v>76</v>
      </c>
      <c r="I59" s="2"/>
      <c r="J59" s="2"/>
      <c r="K59" s="2"/>
      <c r="L59" s="2"/>
      <c r="M59" s="2"/>
    </row>
    <row r="60" spans="8:13">
      <c r="H60" s="15" t="s">
        <v>9</v>
      </c>
      <c r="I60" s="15" t="s">
        <v>10</v>
      </c>
      <c r="J60" s="15" t="s">
        <v>11</v>
      </c>
      <c r="K60" s="15" t="s">
        <v>12</v>
      </c>
    </row>
    <row r="61" spans="8:13">
      <c r="H61" t="s">
        <v>77</v>
      </c>
      <c r="I61" t="s">
        <v>63</v>
      </c>
      <c r="J61" t="s">
        <v>35</v>
      </c>
      <c r="K61" t="s">
        <v>78</v>
      </c>
    </row>
    <row r="62" spans="8:13">
      <c r="H62" t="s">
        <v>79</v>
      </c>
      <c r="I62" t="s">
        <v>80</v>
      </c>
      <c r="J62" t="s">
        <v>81</v>
      </c>
      <c r="K62" t="s">
        <v>19</v>
      </c>
    </row>
    <row r="63" spans="8:13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5"/>
  <sheetViews>
    <sheetView topLeftCell="A25" workbookViewId="0">
      <selection activeCell="I48" sqref="I48"/>
    </sheetView>
  </sheetViews>
  <sheetFormatPr defaultColWidth="9" defaultRowHeight="13.5"/>
  <cols>
    <col min="1" max="1" width="15.75" customWidth="1"/>
    <col min="3" max="3" width="40.875" customWidth="1"/>
    <col min="4" max="4" width="12.875" customWidth="1"/>
    <col min="5" max="5" width="10.625" customWidth="1"/>
    <col min="9" max="9" width="12.625"/>
    <col min="10" max="16" width="10.625" customWidth="1"/>
  </cols>
  <sheetData>
    <row r="1" spans="1:16">
      <c r="A1" s="2"/>
      <c r="B1" s="2"/>
      <c r="C1" s="2"/>
      <c r="D1" s="2"/>
      <c r="E1" s="2"/>
      <c r="L1" s="4"/>
      <c r="M1" s="4"/>
      <c r="N1"/>
      <c r="O1" s="4"/>
      <c r="P1" s="4"/>
    </row>
    <row r="2" spans="1:16">
      <c r="A2" s="2"/>
      <c r="B2" s="2"/>
      <c r="C2" s="2"/>
      <c r="D2" s="2"/>
      <c r="E2" s="2"/>
    </row>
    <row r="3" spans="1:16">
      <c r="A3" s="12"/>
      <c r="B3" s="2"/>
      <c r="C3" s="2"/>
      <c r="D3" s="2"/>
      <c r="E3" s="2"/>
    </row>
    <row r="7" spans="1:16">
      <c r="A7" t="s">
        <v>9</v>
      </c>
      <c r="B7" t="s">
        <v>84</v>
      </c>
      <c r="C7" t="s">
        <v>85</v>
      </c>
      <c r="D7" t="s">
        <v>86</v>
      </c>
      <c r="E7" t="s">
        <v>87</v>
      </c>
      <c r="F7"/>
      <c r="J7" s="13"/>
    </row>
    <row r="8" spans="1:16">
      <c r="A8" t="s">
        <v>88</v>
      </c>
      <c r="B8" t="s">
        <v>89</v>
      </c>
      <c r="C8" t="s">
        <v>90</v>
      </c>
      <c r="J8" s="13"/>
    </row>
    <row r="9" spans="1:16">
      <c r="A9" t="s">
        <v>91</v>
      </c>
      <c r="B9" t="s">
        <v>89</v>
      </c>
      <c r="C9" t="s">
        <v>92</v>
      </c>
      <c r="J9" s="13"/>
    </row>
    <row r="10" spans="1:16">
      <c r="A10" t="s">
        <v>93</v>
      </c>
      <c r="B10" t="s">
        <v>89</v>
      </c>
      <c r="C10" t="s">
        <v>94</v>
      </c>
      <c r="J10" s="13"/>
    </row>
    <row r="11" spans="1:16">
      <c r="A11" t="s">
        <v>95</v>
      </c>
      <c r="B11" t="s">
        <v>89</v>
      </c>
      <c r="C11" t="s">
        <v>96</v>
      </c>
      <c r="J11" s="13"/>
    </row>
    <row r="12" spans="1:16">
      <c r="A12" t="s">
        <v>97</v>
      </c>
      <c r="B12" t="s">
        <v>89</v>
      </c>
      <c r="C12" t="s">
        <v>98</v>
      </c>
      <c r="J12" s="13"/>
    </row>
    <row r="13" spans="1:16">
      <c r="A13" t="s">
        <v>99</v>
      </c>
      <c r="B13" t="s">
        <v>89</v>
      </c>
      <c r="C13" t="s">
        <v>100</v>
      </c>
      <c r="J13" s="13"/>
    </row>
    <row r="14" spans="1:16">
      <c r="A14" t="s">
        <v>101</v>
      </c>
      <c r="B14" t="s">
        <v>102</v>
      </c>
      <c r="C14" t="s">
        <v>103</v>
      </c>
      <c r="D14" s="3">
        <v>1</v>
      </c>
      <c r="J14" s="13"/>
      <c r="O14" s="8"/>
    </row>
    <row r="15" spans="1:16">
      <c r="A15" t="s">
        <v>104</v>
      </c>
      <c r="B15" t="s">
        <v>102</v>
      </c>
      <c r="C15" t="s">
        <v>105</v>
      </c>
      <c r="D15" s="3">
        <v>1</v>
      </c>
      <c r="J15" s="13"/>
      <c r="O15" s="8"/>
    </row>
    <row r="16" spans="1:16">
      <c r="A16" t="s">
        <v>106</v>
      </c>
      <c r="B16" t="s">
        <v>102</v>
      </c>
      <c r="C16" t="s">
        <v>107</v>
      </c>
      <c r="D16" s="3">
        <v>1</v>
      </c>
      <c r="J16" s="13"/>
      <c r="O16" s="8"/>
    </row>
    <row r="17" spans="1:15">
      <c r="A17" t="s">
        <v>108</v>
      </c>
      <c r="B17" t="s">
        <v>102</v>
      </c>
      <c r="C17" t="s">
        <v>109</v>
      </c>
      <c r="D17" s="3">
        <v>1</v>
      </c>
      <c r="J17" s="13"/>
      <c r="O17" s="8"/>
    </row>
    <row r="18" spans="1:15">
      <c r="A18" t="s">
        <v>110</v>
      </c>
      <c r="B18" t="s">
        <v>102</v>
      </c>
      <c r="C18" t="s">
        <v>111</v>
      </c>
      <c r="D18" s="3">
        <v>1</v>
      </c>
      <c r="J18" s="13"/>
      <c r="O18" s="8"/>
    </row>
    <row r="19" spans="1:15">
      <c r="A19" t="s">
        <v>112</v>
      </c>
      <c r="B19" t="s">
        <v>102</v>
      </c>
      <c r="C19" t="s">
        <v>113</v>
      </c>
      <c r="D19" s="3">
        <v>1</v>
      </c>
      <c r="J19" s="13"/>
      <c r="O19" s="8"/>
    </row>
    <row r="20" spans="1:15">
      <c r="A20" t="s">
        <v>114</v>
      </c>
      <c r="B20" t="s">
        <v>102</v>
      </c>
      <c r="C20" t="s">
        <v>115</v>
      </c>
      <c r="D20" s="3">
        <v>0.6</v>
      </c>
      <c r="J20" s="13"/>
    </row>
    <row r="21" spans="1:15">
      <c r="A21" t="s">
        <v>116</v>
      </c>
      <c r="B21" t="s">
        <v>102</v>
      </c>
      <c r="C21" t="s">
        <v>117</v>
      </c>
      <c r="D21" s="3">
        <v>0.6</v>
      </c>
      <c r="J21" s="13"/>
      <c r="L21" s="4"/>
      <c r="M21" s="4"/>
    </row>
    <row r="22" spans="1:15">
      <c r="A22" t="s">
        <v>118</v>
      </c>
      <c r="B22" t="s">
        <v>102</v>
      </c>
      <c r="C22" t="s">
        <v>119</v>
      </c>
      <c r="D22" s="3">
        <v>0.6</v>
      </c>
      <c r="J22" s="13"/>
    </row>
    <row r="23" spans="1:15">
      <c r="A23" t="s">
        <v>120</v>
      </c>
      <c r="B23" t="s">
        <v>102</v>
      </c>
      <c r="C23" t="s">
        <v>121</v>
      </c>
      <c r="D23" s="3">
        <v>0.6</v>
      </c>
      <c r="J23" s="13"/>
    </row>
    <row r="24" spans="1:15">
      <c r="A24" t="s">
        <v>122</v>
      </c>
      <c r="B24" t="s">
        <v>102</v>
      </c>
      <c r="C24" t="s">
        <v>123</v>
      </c>
      <c r="D24" s="3">
        <v>0.6</v>
      </c>
      <c r="J24" s="13"/>
    </row>
    <row r="25" spans="1:15">
      <c r="A25" t="s">
        <v>124</v>
      </c>
      <c r="B25" t="s">
        <v>102</v>
      </c>
      <c r="C25" t="s">
        <v>125</v>
      </c>
      <c r="D25" s="3">
        <v>0.6</v>
      </c>
      <c r="J25" s="13"/>
    </row>
    <row r="26" spans="1:15">
      <c r="A26" t="s">
        <v>126</v>
      </c>
      <c r="B26" t="s">
        <v>102</v>
      </c>
      <c r="C26" t="s">
        <v>127</v>
      </c>
      <c r="D26" s="3">
        <v>0.6</v>
      </c>
      <c r="J26" s="13"/>
    </row>
    <row r="27" spans="1:15">
      <c r="A27" t="s">
        <v>128</v>
      </c>
      <c r="B27" t="s">
        <v>102</v>
      </c>
      <c r="C27" t="s">
        <v>129</v>
      </c>
      <c r="D27" s="3">
        <v>0.6</v>
      </c>
      <c r="J27" s="13"/>
    </row>
    <row r="28" spans="1:15">
      <c r="A28" t="s">
        <v>16</v>
      </c>
      <c r="B28" t="s">
        <v>102</v>
      </c>
      <c r="C28" t="s">
        <v>130</v>
      </c>
      <c r="D28" s="3">
        <v>1</v>
      </c>
      <c r="E28" t="s">
        <v>131</v>
      </c>
      <c r="F28" t="s">
        <v>30</v>
      </c>
      <c r="G28" t="s">
        <v>39</v>
      </c>
      <c r="H28" t="s">
        <v>132</v>
      </c>
      <c r="J28" s="13"/>
    </row>
    <row r="29" spans="1:15">
      <c r="A29" t="s">
        <v>22</v>
      </c>
      <c r="B29" t="s">
        <v>102</v>
      </c>
      <c r="C29" t="s">
        <v>133</v>
      </c>
      <c r="D29" s="3">
        <v>3</v>
      </c>
      <c r="E29" t="s">
        <v>131</v>
      </c>
      <c r="F29" t="s">
        <v>30</v>
      </c>
      <c r="G29" t="s">
        <v>39</v>
      </c>
      <c r="J29" s="13"/>
    </row>
    <row r="30" spans="1:15">
      <c r="A30" t="s">
        <v>31</v>
      </c>
      <c r="B30" t="s">
        <v>102</v>
      </c>
      <c r="C30" t="s">
        <v>134</v>
      </c>
      <c r="D30" s="3">
        <v>1.2</v>
      </c>
      <c r="E30" t="s">
        <v>131</v>
      </c>
      <c r="J30" s="13"/>
    </row>
    <row r="31" spans="1:15">
      <c r="A31" t="s">
        <v>135</v>
      </c>
      <c r="B31" t="s">
        <v>102</v>
      </c>
      <c r="C31" t="s">
        <v>136</v>
      </c>
      <c r="D31" s="3">
        <v>0.8</v>
      </c>
      <c r="J31" s="13"/>
    </row>
    <row r="32" spans="1:15">
      <c r="A32" t="s">
        <v>137</v>
      </c>
      <c r="B32" t="s">
        <v>102</v>
      </c>
      <c r="C32" t="s">
        <v>138</v>
      </c>
      <c r="D32">
        <v>1000</v>
      </c>
      <c r="J32" s="13"/>
    </row>
    <row r="33" spans="1:10">
      <c r="A33" t="s">
        <v>139</v>
      </c>
      <c r="B33" t="s">
        <v>102</v>
      </c>
      <c r="C33" t="s">
        <v>140</v>
      </c>
      <c r="D33" s="3">
        <v>1.5</v>
      </c>
      <c r="J33" s="13"/>
    </row>
    <row r="34" spans="1:10">
      <c r="A34" t="s">
        <v>141</v>
      </c>
      <c r="B34" t="s">
        <v>102</v>
      </c>
      <c r="C34" t="s">
        <v>142</v>
      </c>
      <c r="D34" s="3">
        <v>1</v>
      </c>
      <c r="J34" s="13"/>
    </row>
    <row r="35" spans="1:10">
      <c r="A35" t="s">
        <v>143</v>
      </c>
      <c r="B35" t="s">
        <v>102</v>
      </c>
      <c r="C35" t="s">
        <v>144</v>
      </c>
      <c r="D35" s="3">
        <v>0.5</v>
      </c>
      <c r="J35" s="13"/>
    </row>
    <row r="36" spans="1:10">
      <c r="A36" t="s">
        <v>145</v>
      </c>
      <c r="B36" t="s">
        <v>102</v>
      </c>
      <c r="C36" t="s">
        <v>146</v>
      </c>
      <c r="D36" s="3">
        <v>1.5</v>
      </c>
      <c r="J36" s="13"/>
    </row>
    <row r="37" spans="1:10">
      <c r="A37" t="s">
        <v>147</v>
      </c>
      <c r="B37" t="s">
        <v>102</v>
      </c>
      <c r="C37" t="s">
        <v>148</v>
      </c>
      <c r="D37" s="3">
        <v>1.5</v>
      </c>
      <c r="J37" s="13"/>
    </row>
    <row r="38" spans="1:10">
      <c r="A38" t="s">
        <v>149</v>
      </c>
      <c r="B38" t="s">
        <v>102</v>
      </c>
      <c r="C38" t="s">
        <v>150</v>
      </c>
      <c r="D38" s="3">
        <v>1.5</v>
      </c>
      <c r="J38" s="13"/>
    </row>
    <row r="39" spans="1:10">
      <c r="A39" t="s">
        <v>151</v>
      </c>
      <c r="B39" t="s">
        <v>102</v>
      </c>
      <c r="C39" t="s">
        <v>152</v>
      </c>
      <c r="D39" s="3">
        <v>1.5</v>
      </c>
      <c r="J39" s="13"/>
    </row>
    <row r="40" spans="1:10">
      <c r="A40" t="s">
        <v>153</v>
      </c>
      <c r="B40" t="s">
        <v>102</v>
      </c>
      <c r="C40" t="s">
        <v>154</v>
      </c>
      <c r="D40" s="3">
        <v>1.5</v>
      </c>
      <c r="J40" s="13"/>
    </row>
    <row r="41" spans="1:10">
      <c r="A41" t="s">
        <v>155</v>
      </c>
      <c r="B41" t="s">
        <v>102</v>
      </c>
      <c r="C41" t="s">
        <v>156</v>
      </c>
      <c r="D41" s="3">
        <v>1.5</v>
      </c>
      <c r="J41" s="13"/>
    </row>
    <row r="42" spans="1:10">
      <c r="A42" t="s">
        <v>157</v>
      </c>
      <c r="B42" t="s">
        <v>89</v>
      </c>
      <c r="C42" t="s">
        <v>158</v>
      </c>
      <c r="J42" s="13"/>
    </row>
    <row r="43" spans="1:10">
      <c r="A43" t="s">
        <v>41</v>
      </c>
      <c r="B43" t="s">
        <v>102</v>
      </c>
      <c r="C43" t="s">
        <v>159</v>
      </c>
      <c r="D43" s="3">
        <v>0.6</v>
      </c>
      <c r="E43"/>
      <c r="F43"/>
      <c r="J43" s="13"/>
    </row>
    <row r="44" spans="1:10">
      <c r="A44" t="s">
        <v>51</v>
      </c>
      <c r="B44" t="s">
        <v>102</v>
      </c>
      <c r="C44" t="s">
        <v>160</v>
      </c>
      <c r="D44" s="3">
        <v>0.7</v>
      </c>
      <c r="J44" s="13"/>
    </row>
    <row r="45" spans="1:10">
      <c r="A45" t="s">
        <v>161</v>
      </c>
      <c r="B45" t="s">
        <v>102</v>
      </c>
      <c r="C45" t="s">
        <v>162</v>
      </c>
      <c r="D45" s="3">
        <v>0.2</v>
      </c>
      <c r="J45" s="13"/>
    </row>
    <row r="46" spans="1:10">
      <c r="A46" t="s">
        <v>163</v>
      </c>
      <c r="B46" t="s">
        <v>89</v>
      </c>
      <c r="C46" t="s">
        <v>164</v>
      </c>
      <c r="D46">
        <v>500</v>
      </c>
      <c r="J46" s="13"/>
    </row>
    <row r="47" spans="1:10">
      <c r="A47" t="s">
        <v>165</v>
      </c>
      <c r="B47" t="s">
        <v>102</v>
      </c>
      <c r="C47" t="s">
        <v>166</v>
      </c>
      <c r="D47" s="3">
        <v>0.5</v>
      </c>
      <c r="J47" s="13"/>
    </row>
    <row r="48" spans="1:10">
      <c r="A48" t="s">
        <v>167</v>
      </c>
      <c r="B48" t="s">
        <v>102</v>
      </c>
      <c r="C48" t="s">
        <v>168</v>
      </c>
      <c r="D48" s="3">
        <v>0.4</v>
      </c>
      <c r="E48" t="s">
        <v>169</v>
      </c>
      <c r="F48" t="s">
        <v>170</v>
      </c>
      <c r="G48" t="s">
        <v>171</v>
      </c>
      <c r="H48" t="s">
        <v>172</v>
      </c>
      <c r="I48" t="s">
        <v>173</v>
      </c>
      <c r="J48" s="13"/>
    </row>
    <row r="49" spans="1:10">
      <c r="A49" t="s">
        <v>59</v>
      </c>
      <c r="B49" t="s">
        <v>102</v>
      </c>
      <c r="C49" t="s">
        <v>174</v>
      </c>
      <c r="D49" s="3">
        <v>0.5</v>
      </c>
      <c r="E49" t="s">
        <v>175</v>
      </c>
      <c r="F49" t="s">
        <v>176</v>
      </c>
      <c r="G49" t="s">
        <v>177</v>
      </c>
      <c r="H49" t="s">
        <v>178</v>
      </c>
      <c r="I49" t="s">
        <v>179</v>
      </c>
      <c r="J49" s="13"/>
    </row>
    <row r="50" spans="1:10">
      <c r="A50" t="s">
        <v>62</v>
      </c>
      <c r="B50" t="s">
        <v>102</v>
      </c>
      <c r="C50" t="s">
        <v>180</v>
      </c>
      <c r="D50" s="3">
        <v>0.5</v>
      </c>
      <c r="E50" t="s">
        <v>181</v>
      </c>
      <c r="F50" t="s">
        <v>182</v>
      </c>
      <c r="G50" t="s">
        <v>183</v>
      </c>
      <c r="H50" t="s">
        <v>184</v>
      </c>
      <c r="I50" t="s">
        <v>185</v>
      </c>
      <c r="J50" s="13"/>
    </row>
    <row r="51" spans="1:10">
      <c r="A51" t="s">
        <v>66</v>
      </c>
      <c r="B51" t="s">
        <v>102</v>
      </c>
      <c r="C51" t="s">
        <v>186</v>
      </c>
      <c r="D51" s="3">
        <v>0.55</v>
      </c>
      <c r="E51" t="s">
        <v>169</v>
      </c>
      <c r="F51" t="s">
        <v>170</v>
      </c>
      <c r="G51" t="s">
        <v>171</v>
      </c>
      <c r="H51" t="s">
        <v>172</v>
      </c>
      <c r="I51" t="s">
        <v>187</v>
      </c>
      <c r="J51" s="13"/>
    </row>
    <row r="52" spans="1:10">
      <c r="A52" t="s">
        <v>67</v>
      </c>
      <c r="B52" t="s">
        <v>102</v>
      </c>
      <c r="C52" t="s">
        <v>188</v>
      </c>
      <c r="D52" s="3">
        <v>0.92</v>
      </c>
      <c r="E52" t="s">
        <v>189</v>
      </c>
      <c r="F52" t="s">
        <v>190</v>
      </c>
      <c r="G52" t="s">
        <v>191</v>
      </c>
      <c r="H52" t="s">
        <v>184</v>
      </c>
      <c r="I52" t="s">
        <v>192</v>
      </c>
      <c r="J52" s="13"/>
    </row>
    <row r="53" spans="1:10">
      <c r="A53" t="s">
        <v>193</v>
      </c>
      <c r="B53" t="s">
        <v>102</v>
      </c>
      <c r="C53" t="s">
        <v>194</v>
      </c>
      <c r="D53" s="3">
        <v>0.62</v>
      </c>
      <c r="E53" t="s">
        <v>195</v>
      </c>
      <c r="F53" t="s">
        <v>182</v>
      </c>
      <c r="G53" t="s">
        <v>196</v>
      </c>
      <c r="H53" t="s">
        <v>172</v>
      </c>
      <c r="I53" t="s">
        <v>187</v>
      </c>
      <c r="J53" s="13"/>
    </row>
    <row r="54" spans="1:10">
      <c r="A54" t="s">
        <v>197</v>
      </c>
      <c r="B54" t="s">
        <v>102</v>
      </c>
      <c r="C54" t="s">
        <v>198</v>
      </c>
      <c r="D54" s="3">
        <v>0.62</v>
      </c>
      <c r="E54" t="s">
        <v>195</v>
      </c>
      <c r="F54" t="s">
        <v>182</v>
      </c>
      <c r="G54" t="s">
        <v>196</v>
      </c>
      <c r="H54" t="s">
        <v>172</v>
      </c>
      <c r="I54" t="s">
        <v>187</v>
      </c>
      <c r="J54" s="13"/>
    </row>
    <row r="55" spans="1:10">
      <c r="A55" t="s">
        <v>199</v>
      </c>
      <c r="B55" t="s">
        <v>102</v>
      </c>
      <c r="C55" t="s">
        <v>200</v>
      </c>
      <c r="D55" s="3">
        <v>0.62</v>
      </c>
      <c r="E55" t="s">
        <v>195</v>
      </c>
      <c r="F55" t="s">
        <v>182</v>
      </c>
      <c r="G55" t="s">
        <v>196</v>
      </c>
      <c r="H55" t="s">
        <v>172</v>
      </c>
      <c r="I55" t="s">
        <v>187</v>
      </c>
      <c r="J55" s="13"/>
    </row>
    <row r="56" spans="1:10">
      <c r="A56" t="s">
        <v>54</v>
      </c>
      <c r="B56" t="s">
        <v>102</v>
      </c>
      <c r="C56" t="s">
        <v>201</v>
      </c>
      <c r="D56" s="3">
        <v>0.62</v>
      </c>
      <c r="E56" t="s">
        <v>195</v>
      </c>
      <c r="F56" t="s">
        <v>182</v>
      </c>
      <c r="G56" t="s">
        <v>196</v>
      </c>
      <c r="H56" t="s">
        <v>172</v>
      </c>
      <c r="I56" t="s">
        <v>187</v>
      </c>
      <c r="J56" s="13"/>
    </row>
    <row r="57" spans="1:10">
      <c r="A57" t="s">
        <v>202</v>
      </c>
      <c r="B57" t="s">
        <v>102</v>
      </c>
      <c r="C57" t="s">
        <v>203</v>
      </c>
      <c r="D57" s="3">
        <v>0.5</v>
      </c>
      <c r="J57" s="13"/>
    </row>
    <row r="58" spans="1:10">
      <c r="A58" t="s">
        <v>69</v>
      </c>
      <c r="B58" t="s">
        <v>102</v>
      </c>
      <c r="C58" t="s">
        <v>204</v>
      </c>
      <c r="J58" s="13"/>
    </row>
    <row r="59" spans="1:10">
      <c r="A59" t="s">
        <v>72</v>
      </c>
      <c r="B59" t="s">
        <v>102</v>
      </c>
      <c r="C59" t="s">
        <v>205</v>
      </c>
      <c r="J59" s="13"/>
    </row>
    <row r="60" spans="1:10">
      <c r="A60" t="s">
        <v>206</v>
      </c>
      <c r="B60" t="s">
        <v>102</v>
      </c>
      <c r="C60" t="s">
        <v>207</v>
      </c>
      <c r="D60" s="3">
        <v>1</v>
      </c>
      <c r="E60" t="s">
        <v>175</v>
      </c>
      <c r="F60" t="s">
        <v>176</v>
      </c>
      <c r="G60" t="s">
        <v>177</v>
      </c>
      <c r="H60" t="s">
        <v>178</v>
      </c>
      <c r="I60" t="s">
        <v>179</v>
      </c>
      <c r="J60" s="13"/>
    </row>
    <row r="61" spans="1:10">
      <c r="A61" t="s">
        <v>208</v>
      </c>
      <c r="B61" t="s">
        <v>102</v>
      </c>
      <c r="C61" t="s">
        <v>209</v>
      </c>
      <c r="D61" s="3">
        <v>1</v>
      </c>
      <c r="E61" t="s">
        <v>175</v>
      </c>
      <c r="F61" t="s">
        <v>176</v>
      </c>
      <c r="G61" t="s">
        <v>177</v>
      </c>
      <c r="H61" t="s">
        <v>178</v>
      </c>
      <c r="I61" t="s">
        <v>179</v>
      </c>
      <c r="J61" s="13"/>
    </row>
    <row r="62" spans="1:10">
      <c r="A62" t="s">
        <v>210</v>
      </c>
      <c r="B62" t="s">
        <v>102</v>
      </c>
      <c r="C62" t="s">
        <v>211</v>
      </c>
      <c r="D62" s="3">
        <v>0.5</v>
      </c>
      <c r="E62" t="s">
        <v>212</v>
      </c>
      <c r="F62" t="s">
        <v>176</v>
      </c>
      <c r="G62" t="s">
        <v>177</v>
      </c>
      <c r="H62" t="s">
        <v>178</v>
      </c>
      <c r="I62" t="s">
        <v>179</v>
      </c>
      <c r="J62" s="13"/>
    </row>
    <row r="63" spans="1:10">
      <c r="A63" t="s">
        <v>213</v>
      </c>
      <c r="B63" t="s">
        <v>89</v>
      </c>
      <c r="C63" t="s">
        <v>214</v>
      </c>
      <c r="D63">
        <v>50</v>
      </c>
      <c r="J63" s="13"/>
    </row>
    <row r="64" spans="1:10">
      <c r="A64" t="s">
        <v>215</v>
      </c>
      <c r="B64" t="s">
        <v>102</v>
      </c>
      <c r="C64" t="s">
        <v>216</v>
      </c>
      <c r="D64" s="3">
        <v>1</v>
      </c>
      <c r="J64" s="13"/>
    </row>
    <row r="65" spans="1:10">
      <c r="A65" t="s">
        <v>217</v>
      </c>
      <c r="B65" t="s">
        <v>102</v>
      </c>
      <c r="C65" t="s">
        <v>218</v>
      </c>
      <c r="D65" s="3">
        <v>2</v>
      </c>
      <c r="J65" s="13"/>
    </row>
    <row r="66" spans="1:10">
      <c r="A66" t="s">
        <v>219</v>
      </c>
      <c r="B66" t="s">
        <v>102</v>
      </c>
      <c r="C66" t="s">
        <v>220</v>
      </c>
      <c r="D66" s="3">
        <v>0.5</v>
      </c>
      <c r="E66" t="s">
        <v>212</v>
      </c>
      <c r="F66" t="s">
        <v>176</v>
      </c>
      <c r="G66" t="s">
        <v>177</v>
      </c>
      <c r="H66" t="s">
        <v>178</v>
      </c>
      <c r="I66" t="s">
        <v>179</v>
      </c>
      <c r="J66" s="13"/>
    </row>
    <row r="67" spans="1:10">
      <c r="A67" t="s">
        <v>221</v>
      </c>
      <c r="B67" t="s">
        <v>102</v>
      </c>
      <c r="C67" t="s">
        <v>222</v>
      </c>
      <c r="D67" s="3">
        <v>1</v>
      </c>
      <c r="J67" s="13"/>
    </row>
    <row r="68" spans="1:10">
      <c r="A68" t="s">
        <v>223</v>
      </c>
      <c r="B68" t="s">
        <v>102</v>
      </c>
      <c r="C68" t="s">
        <v>224</v>
      </c>
      <c r="D68" s="3">
        <v>1</v>
      </c>
      <c r="E68" t="s">
        <v>225</v>
      </c>
      <c r="F68" t="s">
        <v>226</v>
      </c>
      <c r="G68" t="s">
        <v>184</v>
      </c>
      <c r="H68" t="s">
        <v>227</v>
      </c>
      <c r="J68" s="13"/>
    </row>
    <row r="69" spans="1:10">
      <c r="A69" t="s">
        <v>228</v>
      </c>
      <c r="B69" t="s">
        <v>102</v>
      </c>
      <c r="C69" t="s">
        <v>229</v>
      </c>
      <c r="D69" s="3">
        <v>0.5</v>
      </c>
      <c r="E69" t="s">
        <v>212</v>
      </c>
      <c r="F69" t="s">
        <v>176</v>
      </c>
      <c r="G69" t="s">
        <v>177</v>
      </c>
      <c r="H69" t="s">
        <v>178</v>
      </c>
      <c r="I69" t="s">
        <v>179</v>
      </c>
      <c r="J69" s="13"/>
    </row>
    <row r="70" spans="1:10">
      <c r="A70" t="s">
        <v>230</v>
      </c>
      <c r="B70" t="s">
        <v>102</v>
      </c>
      <c r="C70" t="s">
        <v>231</v>
      </c>
      <c r="D70" s="3">
        <v>3</v>
      </c>
      <c r="J70" s="13"/>
    </row>
    <row r="71" spans="1:10">
      <c r="A71" t="s">
        <v>232</v>
      </c>
      <c r="B71" t="s">
        <v>102</v>
      </c>
      <c r="C71" t="s">
        <v>233</v>
      </c>
      <c r="D71" s="3">
        <v>0.5</v>
      </c>
      <c r="E71" t="s">
        <v>234</v>
      </c>
      <c r="F71" t="s">
        <v>235</v>
      </c>
      <c r="G71" t="s">
        <v>236</v>
      </c>
      <c r="H71" t="s">
        <v>237</v>
      </c>
      <c r="I71" t="s">
        <v>238</v>
      </c>
      <c r="J71" s="13"/>
    </row>
    <row r="72" spans="1:10">
      <c r="A72" t="s">
        <v>239</v>
      </c>
      <c r="B72" t="s">
        <v>102</v>
      </c>
      <c r="C72" t="s">
        <v>240</v>
      </c>
      <c r="D72" s="3">
        <v>1</v>
      </c>
      <c r="E72" t="s">
        <v>225</v>
      </c>
      <c r="F72" t="s">
        <v>226</v>
      </c>
      <c r="G72" t="s">
        <v>184</v>
      </c>
      <c r="H72" t="s">
        <v>227</v>
      </c>
      <c r="J72" s="13"/>
    </row>
    <row r="73" spans="1:10">
      <c r="A73" t="s">
        <v>241</v>
      </c>
      <c r="B73" t="s">
        <v>102</v>
      </c>
      <c r="C73" t="s">
        <v>242</v>
      </c>
      <c r="D73" s="3">
        <v>0.5</v>
      </c>
      <c r="E73" t="s">
        <v>212</v>
      </c>
      <c r="F73" t="s">
        <v>176</v>
      </c>
      <c r="G73" t="s">
        <v>177</v>
      </c>
      <c r="H73" t="s">
        <v>178</v>
      </c>
      <c r="I73" t="s">
        <v>179</v>
      </c>
      <c r="J73" s="13"/>
    </row>
    <row r="74" spans="1:10">
      <c r="A74" t="s">
        <v>243</v>
      </c>
      <c r="B74" t="s">
        <v>102</v>
      </c>
      <c r="C74" t="s">
        <v>244</v>
      </c>
      <c r="D74" s="3">
        <v>1</v>
      </c>
      <c r="E74" t="s">
        <v>225</v>
      </c>
      <c r="F74" t="s">
        <v>226</v>
      </c>
      <c r="G74" t="s">
        <v>184</v>
      </c>
      <c r="H74" t="s">
        <v>227</v>
      </c>
      <c r="J74" s="13"/>
    </row>
    <row r="75" spans="1:10">
      <c r="A75" t="s">
        <v>245</v>
      </c>
      <c r="B75" t="s">
        <v>102</v>
      </c>
      <c r="C75" t="s">
        <v>246</v>
      </c>
      <c r="D75" s="3">
        <v>0.5</v>
      </c>
      <c r="E75" t="s">
        <v>212</v>
      </c>
      <c r="F75" t="s">
        <v>176</v>
      </c>
      <c r="G75" t="s">
        <v>177</v>
      </c>
      <c r="H75" t="s">
        <v>178</v>
      </c>
      <c r="I75" t="s">
        <v>179</v>
      </c>
      <c r="J75" s="13"/>
    </row>
  </sheetData>
  <mergeCells count="6">
    <mergeCell ref="A1:E1"/>
    <mergeCell ref="L1:M1"/>
    <mergeCell ref="O1:P1"/>
    <mergeCell ref="A2:E2"/>
    <mergeCell ref="A3:E3"/>
    <mergeCell ref="L21:M21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7"/>
  <sheetViews>
    <sheetView workbookViewId="0">
      <selection activeCell="E27" sqref="E27"/>
    </sheetView>
  </sheetViews>
  <sheetFormatPr defaultColWidth="9" defaultRowHeight="13.5"/>
  <cols>
    <col min="1" max="7" width="12.625" customWidth="1"/>
  </cols>
  <sheetData>
    <row r="1" spans="1:17">
      <c r="A1" t="s">
        <v>13</v>
      </c>
      <c r="B1">
        <v>50</v>
      </c>
      <c r="I1" t="s">
        <v>247</v>
      </c>
      <c r="J1" t="s">
        <v>248</v>
      </c>
      <c r="K1" t="s">
        <v>85</v>
      </c>
      <c r="L1" t="s">
        <v>249</v>
      </c>
      <c r="M1" s="5" t="s">
        <v>250</v>
      </c>
    </row>
    <row r="2" spans="1:17">
      <c r="A2" t="s">
        <v>251</v>
      </c>
      <c r="B2" s="4" t="s">
        <v>252</v>
      </c>
      <c r="C2" s="4"/>
      <c r="D2" t="s">
        <v>253</v>
      </c>
      <c r="E2" s="4" t="s">
        <v>254</v>
      </c>
      <c r="F2" s="4"/>
      <c r="G2" t="s">
        <v>253</v>
      </c>
      <c r="I2" t="s">
        <v>255</v>
      </c>
      <c r="J2" s="5" t="s">
        <v>256</v>
      </c>
      <c r="K2" s="5" t="s">
        <v>257</v>
      </c>
      <c r="M2" s="16" t="s">
        <v>258</v>
      </c>
    </row>
    <row r="3" spans="1:17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I3" t="s">
        <v>259</v>
      </c>
      <c r="J3" s="5" t="s">
        <v>260</v>
      </c>
      <c r="K3" s="5" t="s">
        <v>261</v>
      </c>
      <c r="L3" t="s">
        <v>262</v>
      </c>
      <c r="M3" s="16" t="s">
        <v>263</v>
      </c>
    </row>
    <row r="4" spans="1:17">
      <c r="A4">
        <v>2</v>
      </c>
      <c r="B4" t="s">
        <v>91</v>
      </c>
      <c r="C4">
        <v>16</v>
      </c>
      <c r="D4">
        <v>8</v>
      </c>
      <c r="E4" t="s">
        <v>91</v>
      </c>
      <c r="F4">
        <v>8</v>
      </c>
      <c r="G4">
        <v>4</v>
      </c>
      <c r="I4" t="s">
        <v>264</v>
      </c>
      <c r="J4" s="5" t="s">
        <v>265</v>
      </c>
      <c r="K4" s="5" t="s">
        <v>266</v>
      </c>
      <c r="L4" t="s">
        <v>267</v>
      </c>
      <c r="M4" s="16" t="s">
        <v>268</v>
      </c>
    </row>
    <row r="5" spans="1:17">
      <c r="A5">
        <v>2</v>
      </c>
      <c r="B5" t="s">
        <v>93</v>
      </c>
      <c r="C5">
        <v>10</v>
      </c>
      <c r="D5">
        <v>5</v>
      </c>
      <c r="E5" t="s">
        <v>93</v>
      </c>
      <c r="F5">
        <v>4</v>
      </c>
      <c r="G5">
        <v>2</v>
      </c>
      <c r="I5" t="s">
        <v>269</v>
      </c>
      <c r="J5" s="5" t="s">
        <v>8</v>
      </c>
      <c r="K5" s="5" t="s">
        <v>270</v>
      </c>
      <c r="M5" s="16" t="s">
        <v>271</v>
      </c>
    </row>
    <row r="6" spans="1:17">
      <c r="A6">
        <v>2</v>
      </c>
      <c r="B6" t="s">
        <v>95</v>
      </c>
      <c r="C6">
        <v>10</v>
      </c>
      <c r="D6">
        <v>5</v>
      </c>
      <c r="E6" t="s">
        <v>95</v>
      </c>
      <c r="F6">
        <v>2</v>
      </c>
      <c r="G6">
        <v>1</v>
      </c>
      <c r="L6" s="2"/>
      <c r="M6" s="2"/>
    </row>
    <row r="7" spans="1:17">
      <c r="A7">
        <v>2</v>
      </c>
      <c r="B7" t="s">
        <v>97</v>
      </c>
      <c r="C7">
        <v>10</v>
      </c>
      <c r="D7">
        <v>5</v>
      </c>
      <c r="E7" t="s">
        <v>97</v>
      </c>
      <c r="F7">
        <v>2</v>
      </c>
      <c r="G7">
        <v>1</v>
      </c>
      <c r="L7" s="2"/>
      <c r="M7" s="2"/>
    </row>
    <row r="8" spans="1:17">
      <c r="A8">
        <v>2</v>
      </c>
      <c r="B8" t="s">
        <v>99</v>
      </c>
      <c r="C8">
        <v>10</v>
      </c>
      <c r="D8">
        <v>5</v>
      </c>
      <c r="E8" t="s">
        <v>99</v>
      </c>
      <c r="F8">
        <v>2</v>
      </c>
      <c r="G8">
        <v>1</v>
      </c>
      <c r="L8" s="2"/>
      <c r="M8" s="2"/>
    </row>
    <row r="9" spans="1:17">
      <c r="D9">
        <f>SUM(D3:D8)</f>
        <v>33</v>
      </c>
      <c r="G9">
        <f>SUM(G3:G8)</f>
        <v>11</v>
      </c>
      <c r="I9" s="2" t="s">
        <v>272</v>
      </c>
      <c r="J9" s="6" t="s">
        <v>247</v>
      </c>
      <c r="K9" s="6" t="s">
        <v>9</v>
      </c>
      <c r="L9" s="6"/>
      <c r="M9" s="6"/>
      <c r="N9" s="6"/>
      <c r="O9" s="6"/>
      <c r="P9" s="6"/>
      <c r="Q9" s="6"/>
    </row>
    <row r="10" spans="1:17">
      <c r="I10" s="6" t="s">
        <v>273</v>
      </c>
      <c r="J10" s="6" t="s">
        <v>274</v>
      </c>
      <c r="K10" s="5" t="s">
        <v>88</v>
      </c>
      <c r="L10" t="s">
        <v>91</v>
      </c>
      <c r="M10" t="s">
        <v>93</v>
      </c>
      <c r="N10" t="s">
        <v>95</v>
      </c>
      <c r="O10" t="s">
        <v>97</v>
      </c>
      <c r="P10" t="s">
        <v>99</v>
      </c>
    </row>
    <row r="11" spans="1:17">
      <c r="I11" s="2"/>
      <c r="J11" s="6" t="s">
        <v>275</v>
      </c>
      <c r="K11" s="5" t="s">
        <v>101</v>
      </c>
      <c r="L11" s="5" t="s">
        <v>104</v>
      </c>
      <c r="M11" s="5" t="s">
        <v>106</v>
      </c>
      <c r="N11" s="5" t="s">
        <v>108</v>
      </c>
      <c r="O11" s="5" t="s">
        <v>110</v>
      </c>
      <c r="P11" s="5" t="s">
        <v>112</v>
      </c>
    </row>
    <row r="12" spans="1:17">
      <c r="I12" s="2"/>
      <c r="J12" s="6" t="s">
        <v>276</v>
      </c>
      <c r="K12" s="5" t="s">
        <v>114</v>
      </c>
      <c r="L12" s="5" t="s">
        <v>116</v>
      </c>
      <c r="M12" s="5" t="s">
        <v>118</v>
      </c>
      <c r="N12" s="5" t="s">
        <v>120</v>
      </c>
      <c r="O12" s="5" t="s">
        <v>122</v>
      </c>
      <c r="P12" s="5" t="s">
        <v>124</v>
      </c>
      <c r="Q12" s="5"/>
    </row>
    <row r="13" spans="1:17">
      <c r="I13" s="2"/>
      <c r="J13" s="6" t="s">
        <v>277</v>
      </c>
      <c r="K13" s="5" t="s">
        <v>126</v>
      </c>
      <c r="L13" s="5" t="s">
        <v>128</v>
      </c>
      <c r="M13" s="5"/>
      <c r="N13" s="5"/>
      <c r="O13" s="5"/>
      <c r="P13" s="5"/>
      <c r="Q13" s="7"/>
    </row>
    <row r="14" spans="1:17">
      <c r="A14" t="s">
        <v>1</v>
      </c>
      <c r="B14" t="s">
        <v>278</v>
      </c>
      <c r="C14" t="s">
        <v>279</v>
      </c>
      <c r="D14" t="s">
        <v>280</v>
      </c>
      <c r="E14" t="s">
        <v>281</v>
      </c>
      <c r="I14" s="2"/>
      <c r="J14" s="2"/>
      <c r="K14" s="5"/>
      <c r="M14" s="5"/>
      <c r="N14" s="5"/>
      <c r="O14" s="5"/>
      <c r="P14" s="5"/>
      <c r="Q14" s="7"/>
    </row>
    <row r="15" spans="1:17">
      <c r="A15" t="s">
        <v>13</v>
      </c>
      <c r="B15">
        <f>D9+G9*49</f>
        <v>572</v>
      </c>
      <c r="C15">
        <v>120</v>
      </c>
      <c r="D15" s="8">
        <f>ROUND(C15/$C$21,2)</f>
        <v>0.31</v>
      </c>
      <c r="E15" t="s">
        <v>282</v>
      </c>
      <c r="I15" s="2" t="s">
        <v>283</v>
      </c>
      <c r="J15" s="6" t="s">
        <v>247</v>
      </c>
      <c r="K15" s="6" t="s">
        <v>9</v>
      </c>
      <c r="L15" s="6"/>
      <c r="M15" s="6"/>
      <c r="N15" s="6"/>
      <c r="O15" s="6"/>
      <c r="P15" s="6"/>
      <c r="Q15" s="6"/>
    </row>
    <row r="16" spans="1:17">
      <c r="A16" t="s">
        <v>20</v>
      </c>
      <c r="C16">
        <v>120</v>
      </c>
      <c r="D16" s="8">
        <f>ROUND(C16/$C$21,2)</f>
        <v>0.31</v>
      </c>
      <c r="E16" t="s">
        <v>284</v>
      </c>
      <c r="I16" s="6" t="s">
        <v>285</v>
      </c>
      <c r="J16" s="6" t="s">
        <v>274</v>
      </c>
      <c r="K16" s="5" t="s">
        <v>16</v>
      </c>
      <c r="L16" s="5" t="s">
        <v>22</v>
      </c>
      <c r="M16" s="5" t="s">
        <v>31</v>
      </c>
      <c r="N16" s="5" t="s">
        <v>135</v>
      </c>
      <c r="O16" s="5" t="s">
        <v>137</v>
      </c>
      <c r="Q16" s="7"/>
    </row>
    <row r="17" spans="1:18">
      <c r="A17" t="s">
        <v>25</v>
      </c>
      <c r="C17">
        <v>60</v>
      </c>
      <c r="D17" s="8">
        <f>ROUND(C17/$C$21,2)</f>
        <v>0.15</v>
      </c>
      <c r="E17" t="s">
        <v>286</v>
      </c>
      <c r="I17" s="6"/>
      <c r="J17" s="6" t="s">
        <v>275</v>
      </c>
      <c r="K17" s="5" t="s">
        <v>139</v>
      </c>
      <c r="L17" s="5" t="s">
        <v>141</v>
      </c>
      <c r="M17" s="5" t="s">
        <v>143</v>
      </c>
      <c r="N17" s="5" t="s">
        <v>145</v>
      </c>
      <c r="P17" s="5"/>
      <c r="Q17" s="7"/>
    </row>
    <row r="18" spans="1:18">
      <c r="A18" t="s">
        <v>30</v>
      </c>
      <c r="C18">
        <v>30</v>
      </c>
      <c r="D18" s="8">
        <f>ROUND(C18/$C$21,2)</f>
        <v>0.08</v>
      </c>
      <c r="E18" t="s">
        <v>287</v>
      </c>
      <c r="I18" s="6"/>
      <c r="J18" s="6" t="s">
        <v>276</v>
      </c>
      <c r="K18" s="5" t="s">
        <v>147</v>
      </c>
      <c r="L18" s="5" t="s">
        <v>149</v>
      </c>
      <c r="M18" s="5" t="s">
        <v>151</v>
      </c>
      <c r="N18" s="5" t="s">
        <v>153</v>
      </c>
      <c r="O18" s="5"/>
      <c r="P18" s="5"/>
    </row>
    <row r="19" spans="1:18">
      <c r="A19" t="s">
        <v>35</v>
      </c>
      <c r="C19">
        <v>30</v>
      </c>
      <c r="D19" s="8">
        <f>ROUND(C19/$C$21,2)</f>
        <v>0.08</v>
      </c>
      <c r="E19" t="s">
        <v>287</v>
      </c>
      <c r="I19" s="6"/>
      <c r="J19" s="6" t="s">
        <v>277</v>
      </c>
      <c r="K19" s="5" t="s">
        <v>155</v>
      </c>
      <c r="L19" s="5"/>
      <c r="M19" s="5"/>
      <c r="N19" s="5"/>
      <c r="O19" s="5"/>
      <c r="P19" s="5"/>
    </row>
    <row r="20" spans="1:18">
      <c r="A20" t="s">
        <v>39</v>
      </c>
      <c r="C20">
        <v>30</v>
      </c>
      <c r="D20" s="8">
        <f>ROUND(C20/$C$21,2)</f>
        <v>0.08</v>
      </c>
      <c r="E20" t="s">
        <v>288</v>
      </c>
      <c r="I20" s="2"/>
      <c r="J20" s="2"/>
      <c r="K20" s="5"/>
      <c r="L20" s="5"/>
      <c r="M20" s="5"/>
      <c r="N20" s="5"/>
      <c r="O20" s="5"/>
      <c r="P20" s="5"/>
      <c r="Q20" s="7"/>
    </row>
    <row r="21" spans="1:18">
      <c r="C21">
        <f>SUM(C15:C20)</f>
        <v>390</v>
      </c>
      <c r="I21" s="2"/>
      <c r="J21" s="2"/>
      <c r="M21" s="5"/>
      <c r="O21" s="5"/>
    </row>
    <row r="22" spans="1:18">
      <c r="A22" s="9"/>
      <c r="B22" s="9" t="s">
        <v>289</v>
      </c>
      <c r="C22">
        <f>B15/D15</f>
        <v>1845.16129032258</v>
      </c>
      <c r="I22" s="6" t="s">
        <v>290</v>
      </c>
      <c r="J22" s="6" t="s">
        <v>247</v>
      </c>
      <c r="K22" s="6" t="s">
        <v>9</v>
      </c>
      <c r="L22" s="6"/>
      <c r="M22" s="6"/>
      <c r="N22" s="6"/>
      <c r="O22" s="6"/>
      <c r="P22" s="6"/>
      <c r="Q22" s="6"/>
    </row>
    <row r="23" spans="1:18">
      <c r="I23" s="6" t="s">
        <v>291</v>
      </c>
      <c r="J23" s="6" t="s">
        <v>274</v>
      </c>
      <c r="K23" s="5" t="s">
        <v>157</v>
      </c>
      <c r="L23" s="5" t="s">
        <v>41</v>
      </c>
      <c r="M23" s="5" t="s">
        <v>51</v>
      </c>
      <c r="N23" s="5" t="s">
        <v>161</v>
      </c>
      <c r="O23" s="5" t="s">
        <v>163</v>
      </c>
    </row>
    <row r="24" spans="1:18">
      <c r="I24" s="2"/>
      <c r="J24" s="6" t="s">
        <v>276</v>
      </c>
      <c r="K24" s="5" t="s">
        <v>165</v>
      </c>
    </row>
    <row r="25" spans="1:18">
      <c r="I25" s="2"/>
      <c r="J25" s="6" t="s">
        <v>277</v>
      </c>
      <c r="K25" s="5" t="s">
        <v>167</v>
      </c>
    </row>
    <row r="26" spans="1:18">
      <c r="I26" s="2"/>
      <c r="J26" s="2"/>
    </row>
    <row r="27" spans="1:18">
      <c r="I27" s="6" t="s">
        <v>292</v>
      </c>
      <c r="J27" s="6" t="s">
        <v>247</v>
      </c>
      <c r="K27" s="6" t="s">
        <v>9</v>
      </c>
      <c r="L27" s="6"/>
      <c r="M27" s="6"/>
      <c r="N27" s="6"/>
      <c r="O27" s="6"/>
      <c r="P27" s="6"/>
      <c r="Q27" s="6"/>
    </row>
    <row r="28" spans="1:18">
      <c r="I28" s="6" t="s">
        <v>293</v>
      </c>
      <c r="J28" s="6" t="s">
        <v>274</v>
      </c>
      <c r="K28" s="5" t="s">
        <v>59</v>
      </c>
      <c r="L28" s="5" t="s">
        <v>62</v>
      </c>
      <c r="M28" s="5" t="s">
        <v>66</v>
      </c>
      <c r="N28" s="5" t="s">
        <v>67</v>
      </c>
      <c r="O28" s="5"/>
    </row>
    <row r="29" spans="1:18">
      <c r="I29" s="6"/>
      <c r="J29" s="6"/>
      <c r="K29" t="s">
        <v>193</v>
      </c>
      <c r="L29" s="5" t="s">
        <v>197</v>
      </c>
      <c r="M29" s="5" t="s">
        <v>199</v>
      </c>
      <c r="N29" s="5" t="s">
        <v>54</v>
      </c>
      <c r="O29" s="5" t="s">
        <v>202</v>
      </c>
      <c r="R29" s="5"/>
    </row>
    <row r="30" spans="1:18">
      <c r="I30" s="6"/>
      <c r="J30" s="6"/>
      <c r="L30" s="5"/>
      <c r="M30" s="5"/>
      <c r="N30" s="5"/>
      <c r="O30" s="5"/>
      <c r="R30" s="5"/>
    </row>
    <row r="31" spans="1:18">
      <c r="I31" s="6" t="s">
        <v>294</v>
      </c>
      <c r="J31" s="6" t="s">
        <v>247</v>
      </c>
      <c r="K31" s="6" t="s">
        <v>9</v>
      </c>
      <c r="L31" s="6"/>
      <c r="M31" s="6"/>
      <c r="N31" s="6"/>
      <c r="O31" s="6"/>
      <c r="P31" s="6"/>
      <c r="Q31" s="6"/>
      <c r="R31" s="5"/>
    </row>
    <row r="32" spans="1:18">
      <c r="I32" s="6" t="s">
        <v>295</v>
      </c>
      <c r="J32" s="6" t="s">
        <v>274</v>
      </c>
      <c r="K32" s="5" t="s">
        <v>69</v>
      </c>
      <c r="L32" s="5" t="s">
        <v>72</v>
      </c>
      <c r="M32" s="5"/>
      <c r="N32" s="5"/>
      <c r="O32" s="5"/>
      <c r="R32" s="5"/>
    </row>
    <row r="33" spans="9:17">
      <c r="I33" s="6"/>
      <c r="J33" s="2"/>
      <c r="K33" s="5"/>
      <c r="L33" s="5"/>
      <c r="M33" s="5"/>
      <c r="P33" s="5"/>
    </row>
    <row r="34" spans="9:17">
      <c r="I34" s="6" t="s">
        <v>296</v>
      </c>
      <c r="J34" s="6" t="s">
        <v>247</v>
      </c>
      <c r="K34" s="5" t="s">
        <v>9</v>
      </c>
    </row>
    <row r="35" spans="9:17">
      <c r="I35" s="6" t="s">
        <v>297</v>
      </c>
      <c r="J35" s="6" t="s">
        <v>274</v>
      </c>
      <c r="K35" s="5" t="s">
        <v>77</v>
      </c>
      <c r="L35" s="5" t="s">
        <v>79</v>
      </c>
      <c r="M35" s="5" t="s">
        <v>298</v>
      </c>
      <c r="N35" s="5" t="s">
        <v>299</v>
      </c>
      <c r="O35" s="5"/>
      <c r="P35" s="5"/>
    </row>
    <row r="36" spans="9:17">
      <c r="I36" s="6"/>
      <c r="J36" s="6" t="s">
        <v>275</v>
      </c>
      <c r="K36" s="5" t="s">
        <v>300</v>
      </c>
      <c r="L36" s="5"/>
      <c r="M36" s="5"/>
      <c r="N36" s="5"/>
      <c r="O36" s="5"/>
      <c r="P36" s="5"/>
    </row>
    <row r="37" spans="9:17">
      <c r="I37" s="2"/>
      <c r="J37" s="2"/>
    </row>
    <row r="38" spans="9:17">
      <c r="I38" s="6" t="s">
        <v>301</v>
      </c>
      <c r="J38" s="6" t="s">
        <v>247</v>
      </c>
      <c r="K38" s="6" t="s">
        <v>9</v>
      </c>
      <c r="L38" s="6"/>
      <c r="M38" s="6"/>
      <c r="N38" s="6"/>
      <c r="O38" s="6"/>
      <c r="P38" s="6"/>
      <c r="Q38" s="6"/>
    </row>
    <row r="39" spans="9:17">
      <c r="I39" s="2" t="s">
        <v>302</v>
      </c>
      <c r="J39" s="6" t="s">
        <v>275</v>
      </c>
      <c r="K39" s="5" t="s">
        <v>303</v>
      </c>
    </row>
    <row r="40" spans="9:17">
      <c r="I40" s="2"/>
      <c r="J40" s="2"/>
    </row>
    <row r="41" spans="9:17">
      <c r="I41" s="6" t="s">
        <v>304</v>
      </c>
      <c r="J41" s="6" t="s">
        <v>247</v>
      </c>
      <c r="K41" s="6" t="s">
        <v>9</v>
      </c>
      <c r="L41" s="6"/>
      <c r="M41" s="6"/>
      <c r="N41" s="6"/>
      <c r="O41" s="6"/>
      <c r="P41" s="6"/>
      <c r="Q41" s="6"/>
    </row>
    <row r="42" spans="9:17">
      <c r="I42" s="6" t="s">
        <v>305</v>
      </c>
      <c r="J42" s="6" t="s">
        <v>274</v>
      </c>
      <c r="K42" s="5" t="s">
        <v>306</v>
      </c>
      <c r="L42" s="5" t="s">
        <v>307</v>
      </c>
      <c r="M42" s="5" t="s">
        <v>308</v>
      </c>
      <c r="N42" s="5" t="s">
        <v>309</v>
      </c>
      <c r="O42" s="5"/>
      <c r="P42" s="5"/>
    </row>
    <row r="43" spans="9:17">
      <c r="I43" s="6"/>
      <c r="J43" s="6"/>
      <c r="K43" s="5" t="s">
        <v>310</v>
      </c>
      <c r="L43" s="5" t="s">
        <v>311</v>
      </c>
      <c r="M43" s="5" t="s">
        <v>312</v>
      </c>
      <c r="N43" s="5" t="s">
        <v>313</v>
      </c>
      <c r="O43" s="5"/>
      <c r="P43" s="5"/>
    </row>
    <row r="44" spans="9:17">
      <c r="I44" s="6"/>
      <c r="J44" s="2"/>
      <c r="K44" s="5" t="s">
        <v>314</v>
      </c>
      <c r="L44" s="5" t="s">
        <v>315</v>
      </c>
      <c r="M44" s="5"/>
      <c r="N44" s="5"/>
      <c r="O44" s="5"/>
      <c r="P44" s="5"/>
    </row>
    <row r="45" spans="9:17">
      <c r="I45" s="2"/>
      <c r="J45" s="2"/>
      <c r="K45" s="5"/>
      <c r="O45" s="5"/>
    </row>
    <row r="49" spans="12:20">
      <c r="L49" s="2"/>
      <c r="M49" s="2"/>
      <c r="N49" s="5"/>
    </row>
    <row r="50" spans="12:20">
      <c r="L50" s="6"/>
      <c r="M50" s="2"/>
      <c r="T50" s="5"/>
    </row>
    <row r="51" spans="12:20">
      <c r="L51" s="2"/>
      <c r="M51" s="2"/>
      <c r="Q51" s="5"/>
      <c r="R51" s="5"/>
    </row>
    <row r="52" spans="12:20">
      <c r="L52" s="2"/>
      <c r="M52" s="2"/>
    </row>
    <row r="53" spans="12:20">
      <c r="L53" s="2"/>
      <c r="M53" s="2"/>
    </row>
    <row r="54" spans="12:20">
      <c r="L54" s="2"/>
      <c r="M54" s="2"/>
    </row>
    <row r="55" spans="12:20">
      <c r="L55" s="2"/>
      <c r="M55" s="2"/>
    </row>
    <row r="56" spans="12:20">
      <c r="L56" s="2"/>
      <c r="M56" s="2"/>
    </row>
    <row r="57" spans="12:20">
      <c r="L57" s="2"/>
      <c r="M57" s="2"/>
    </row>
    <row r="58" spans="12:20">
      <c r="L58" s="2"/>
      <c r="M58" s="2"/>
    </row>
    <row r="59" spans="12:20">
      <c r="L59" s="2"/>
      <c r="M59" s="2"/>
    </row>
    <row r="60" spans="12:20">
      <c r="L60" s="2"/>
      <c r="M60" s="2"/>
    </row>
    <row r="61" spans="12:20">
      <c r="L61" s="2"/>
      <c r="M61" s="2"/>
    </row>
    <row r="62" spans="12:20">
      <c r="L62" s="2"/>
      <c r="M62" s="2"/>
    </row>
    <row r="63" spans="12:20">
      <c r="L63" s="2"/>
      <c r="M63" s="2"/>
    </row>
    <row r="64" spans="12:20">
      <c r="L64" s="2"/>
      <c r="M64" s="2"/>
    </row>
    <row r="65" spans="11:28">
      <c r="L65" s="2"/>
      <c r="M65" s="2"/>
    </row>
    <row r="66" spans="11:28">
      <c r="L66" s="6" t="s">
        <v>316</v>
      </c>
      <c r="M66" s="2"/>
      <c r="N66" s="2"/>
      <c r="O66" s="2"/>
      <c r="P66" s="2"/>
      <c r="Q66" s="2"/>
      <c r="R66" s="2"/>
      <c r="S66" s="2"/>
      <c r="T66" s="2"/>
    </row>
    <row r="67" spans="11:28">
      <c r="M67" s="2"/>
      <c r="N67" s="2"/>
    </row>
    <row r="68" spans="11:28">
      <c r="M68" s="2"/>
      <c r="N68" s="2"/>
    </row>
    <row r="69" spans="11:28">
      <c r="L69" s="5"/>
      <c r="M69" s="2"/>
      <c r="N69" s="2"/>
      <c r="O69" t="s">
        <v>317</v>
      </c>
    </row>
    <row r="70" spans="11:28">
      <c r="L70" s="5"/>
      <c r="M70" s="6" t="s">
        <v>318</v>
      </c>
      <c r="N70" s="6"/>
      <c r="O70" t="s">
        <v>319</v>
      </c>
    </row>
    <row r="71" spans="11:28">
      <c r="M71" s="6" t="s">
        <v>318</v>
      </c>
      <c r="N71" s="6"/>
      <c r="O71" t="s">
        <v>320</v>
      </c>
    </row>
    <row r="72" spans="11:28">
      <c r="M72" s="6" t="s">
        <v>318</v>
      </c>
      <c r="N72" s="6"/>
      <c r="O72" t="s">
        <v>321</v>
      </c>
    </row>
    <row r="73" spans="11:28">
      <c r="M73" s="6" t="s">
        <v>318</v>
      </c>
      <c r="N73" s="6"/>
      <c r="O73" t="s">
        <v>322</v>
      </c>
    </row>
    <row r="74" spans="11:28">
      <c r="M74" s="6" t="s">
        <v>318</v>
      </c>
      <c r="N74" s="6"/>
      <c r="O74" t="s">
        <v>323</v>
      </c>
    </row>
    <row r="75" spans="11:28">
      <c r="M75" s="6" t="s">
        <v>318</v>
      </c>
      <c r="N75" s="6"/>
      <c r="O75" t="s">
        <v>324</v>
      </c>
    </row>
    <row r="76" spans="11:28">
      <c r="L76" s="2"/>
      <c r="M76" s="2"/>
      <c r="U76" s="5" t="s">
        <v>325</v>
      </c>
      <c r="V76" s="5" t="s">
        <v>326</v>
      </c>
      <c r="Z76" s="5" t="s">
        <v>327</v>
      </c>
      <c r="AA76" s="5" t="s">
        <v>328</v>
      </c>
      <c r="AB76" s="5" t="s">
        <v>329</v>
      </c>
    </row>
    <row r="77" spans="11:28">
      <c r="L77" s="2"/>
      <c r="M77" s="2"/>
    </row>
    <row r="78" spans="11:28">
      <c r="L78" s="2"/>
      <c r="M78" s="2"/>
    </row>
    <row r="79" spans="11:28">
      <c r="L79" s="2"/>
      <c r="M79" s="2"/>
      <c r="N79" s="5" t="s">
        <v>330</v>
      </c>
    </row>
    <row r="80" spans="11:28">
      <c r="K80" s="5" t="s">
        <v>331</v>
      </c>
      <c r="L80" s="2"/>
      <c r="M80" s="2"/>
    </row>
    <row r="81" spans="11:20">
      <c r="K81" s="5" t="s">
        <v>332</v>
      </c>
      <c r="L81" s="2"/>
      <c r="M81" s="2"/>
    </row>
    <row r="82" spans="11:20">
      <c r="L82" s="2"/>
      <c r="M82" s="2"/>
    </row>
    <row r="83" spans="11:20">
      <c r="K83" s="5" t="s">
        <v>135</v>
      </c>
      <c r="L83" s="6" t="s">
        <v>102</v>
      </c>
      <c r="M83" s="6"/>
      <c r="N83" s="3">
        <v>0.5</v>
      </c>
      <c r="O83" s="10" t="s">
        <v>333</v>
      </c>
      <c r="P83" s="11"/>
      <c r="Q83" s="11"/>
      <c r="R83" s="11"/>
      <c r="S83" s="11"/>
      <c r="T83" s="11"/>
    </row>
    <row r="84" spans="11:20">
      <c r="K84" s="5" t="s">
        <v>153</v>
      </c>
      <c r="L84" s="6" t="s">
        <v>102</v>
      </c>
      <c r="M84" s="6"/>
    </row>
    <row r="85" spans="11:20">
      <c r="K85" s="5" t="s">
        <v>334</v>
      </c>
      <c r="L85" s="6" t="s">
        <v>89</v>
      </c>
      <c r="M85" s="6"/>
    </row>
    <row r="86" spans="11:20">
      <c r="L86" s="2"/>
      <c r="M86" s="2"/>
    </row>
    <row r="87" spans="11:20">
      <c r="L87" s="2"/>
      <c r="M87" s="2"/>
    </row>
    <row r="88" spans="11:20">
      <c r="K88" s="5" t="s">
        <v>193</v>
      </c>
      <c r="L88" s="2"/>
      <c r="M88" s="2"/>
      <c r="N88" s="5" t="s">
        <v>335</v>
      </c>
    </row>
    <row r="89" spans="11:20">
      <c r="L89" s="2"/>
      <c r="M89" s="2"/>
    </row>
    <row r="201" spans="12:13">
      <c r="L201" s="2"/>
      <c r="M201" s="2"/>
    </row>
    <row r="202" spans="12:13">
      <c r="L202" s="2"/>
      <c r="M202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</sheetData>
  <mergeCells count="11">
    <mergeCell ref="B2:C2"/>
    <mergeCell ref="E2:F2"/>
    <mergeCell ref="L66:T66"/>
    <mergeCell ref="O83:T83"/>
    <mergeCell ref="I10:I13"/>
    <mergeCell ref="I16:I19"/>
    <mergeCell ref="I23:I25"/>
    <mergeCell ref="I28:I29"/>
    <mergeCell ref="I32:I33"/>
    <mergeCell ref="I35:I36"/>
    <mergeCell ref="I39:I40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:X40"/>
  <sheetViews>
    <sheetView workbookViewId="0">
      <selection activeCell="N44" sqref="N44"/>
    </sheetView>
  </sheetViews>
  <sheetFormatPr defaultColWidth="9" defaultRowHeight="13.5"/>
  <cols>
    <col min="7" max="12" width="8.625" customWidth="1"/>
  </cols>
  <sheetData>
    <row r="16" spans="7:8">
      <c r="G16" t="s">
        <v>336</v>
      </c>
      <c r="H16" t="s">
        <v>337</v>
      </c>
    </row>
    <row r="17" spans="1:14">
      <c r="G17" t="s">
        <v>131</v>
      </c>
      <c r="H17" t="s">
        <v>338</v>
      </c>
      <c r="I17" t="s">
        <v>339</v>
      </c>
      <c r="J17" t="s">
        <v>340</v>
      </c>
    </row>
    <row r="18" spans="1:14">
      <c r="G18" t="s">
        <v>341</v>
      </c>
      <c r="H18" t="s">
        <v>342</v>
      </c>
      <c r="I18" t="s">
        <v>343</v>
      </c>
      <c r="J18" t="s">
        <v>344</v>
      </c>
    </row>
    <row r="19" spans="1:14">
      <c r="G19" t="s">
        <v>345</v>
      </c>
      <c r="H19" t="s">
        <v>346</v>
      </c>
      <c r="I19" t="s">
        <v>347</v>
      </c>
      <c r="J19" t="s">
        <v>345</v>
      </c>
    </row>
    <row r="20" spans="1:14">
      <c r="G20" t="s">
        <v>348</v>
      </c>
      <c r="H20" t="s">
        <v>349</v>
      </c>
      <c r="I20" t="s">
        <v>350</v>
      </c>
      <c r="J20" t="s">
        <v>351</v>
      </c>
    </row>
    <row r="21" spans="1:14">
      <c r="G21" t="s">
        <v>23</v>
      </c>
    </row>
    <row r="22" spans="1:14">
      <c r="G22" t="s">
        <v>352</v>
      </c>
    </row>
    <row r="25" spans="1:14">
      <c r="A25" t="s">
        <v>353</v>
      </c>
      <c r="B25" t="s">
        <v>354</v>
      </c>
      <c r="C25" t="s">
        <v>355</v>
      </c>
      <c r="D25" t="s">
        <v>356</v>
      </c>
      <c r="H25" t="s">
        <v>357</v>
      </c>
    </row>
    <row r="26" spans="1:14">
      <c r="A26" t="s">
        <v>358</v>
      </c>
      <c r="B26">
        <v>3</v>
      </c>
      <c r="C26" t="s">
        <v>359</v>
      </c>
      <c r="D26">
        <v>1</v>
      </c>
      <c r="H26" t="s">
        <v>360</v>
      </c>
      <c r="I26"/>
      <c r="K26" t="s">
        <v>361</v>
      </c>
    </row>
    <row r="27" spans="1:14">
      <c r="A27" t="s">
        <v>362</v>
      </c>
      <c r="B27">
        <v>6</v>
      </c>
      <c r="C27" t="s">
        <v>363</v>
      </c>
      <c r="D27">
        <v>2</v>
      </c>
      <c r="G27" t="s">
        <v>338</v>
      </c>
      <c r="H27" t="s">
        <v>91</v>
      </c>
      <c r="I27" s="3">
        <v>0.85</v>
      </c>
      <c r="J27" t="s">
        <v>124</v>
      </c>
      <c r="K27" s="3">
        <v>0.1</v>
      </c>
      <c r="L27" t="s">
        <v>364</v>
      </c>
    </row>
    <row r="28" spans="1:14">
      <c r="A28" t="s">
        <v>365</v>
      </c>
      <c r="B28">
        <v>9</v>
      </c>
      <c r="C28" t="s">
        <v>366</v>
      </c>
      <c r="D28">
        <v>3</v>
      </c>
      <c r="G28" t="s">
        <v>339</v>
      </c>
      <c r="H28" t="s">
        <v>91</v>
      </c>
      <c r="I28" s="3">
        <v>1</v>
      </c>
      <c r="J28" t="s">
        <v>124</v>
      </c>
      <c r="K28" s="3">
        <v>0</v>
      </c>
      <c r="L28" t="s">
        <v>206</v>
      </c>
    </row>
    <row r="29" spans="1:14">
      <c r="A29" t="s">
        <v>367</v>
      </c>
      <c r="B29">
        <v>12</v>
      </c>
      <c r="C29" t="s">
        <v>368</v>
      </c>
      <c r="D29">
        <v>4</v>
      </c>
      <c r="G29" t="s">
        <v>340</v>
      </c>
      <c r="H29" t="s">
        <v>91</v>
      </c>
      <c r="I29" s="3">
        <v>1.15</v>
      </c>
      <c r="J29" t="s">
        <v>124</v>
      </c>
      <c r="K29" s="3">
        <v>-0.1</v>
      </c>
      <c r="L29" t="s">
        <v>369</v>
      </c>
      <c r="N29" t="s">
        <v>370</v>
      </c>
    </row>
    <row r="30" spans="1:14">
      <c r="A30" t="s">
        <v>371</v>
      </c>
      <c r="B30">
        <v>15</v>
      </c>
      <c r="C30" t="s">
        <v>372</v>
      </c>
      <c r="D30">
        <v>5</v>
      </c>
      <c r="G30" t="s">
        <v>342</v>
      </c>
      <c r="H30" t="s">
        <v>93</v>
      </c>
      <c r="M30" t="s">
        <v>373</v>
      </c>
      <c r="N30" s="3">
        <v>0.1</v>
      </c>
    </row>
    <row r="31" spans="1:14">
      <c r="G31" t="s">
        <v>343</v>
      </c>
      <c r="H31" t="s">
        <v>93</v>
      </c>
      <c r="M31" t="s">
        <v>373</v>
      </c>
      <c r="N31" s="3">
        <v>0.13</v>
      </c>
    </row>
    <row r="32" spans="1:14">
      <c r="G32" t="s">
        <v>344</v>
      </c>
      <c r="H32" t="s">
        <v>93</v>
      </c>
      <c r="M32" t="s">
        <v>373</v>
      </c>
      <c r="N32" s="3">
        <v>0.16</v>
      </c>
    </row>
    <row r="33" spans="1:24">
      <c r="A33" s="4" t="s">
        <v>361</v>
      </c>
      <c r="B33" s="4"/>
      <c r="C33" s="4"/>
      <c r="D33" s="4"/>
      <c r="G33" t="s">
        <v>346</v>
      </c>
      <c r="H33" t="s">
        <v>88</v>
      </c>
      <c r="I33"/>
      <c r="M33" t="s">
        <v>373</v>
      </c>
      <c r="N33" s="3">
        <v>0.06</v>
      </c>
    </row>
    <row r="34" spans="1:24">
      <c r="A34">
        <v>1</v>
      </c>
      <c r="B34" t="s">
        <v>374</v>
      </c>
      <c r="G34" t="s">
        <v>347</v>
      </c>
      <c r="H34" t="s">
        <v>88</v>
      </c>
      <c r="M34" t="s">
        <v>373</v>
      </c>
      <c r="N34" s="3">
        <v>0.08</v>
      </c>
    </row>
    <row r="35" spans="1:24">
      <c r="A35">
        <v>2</v>
      </c>
      <c r="G35" t="s">
        <v>345</v>
      </c>
      <c r="H35" t="s">
        <v>88</v>
      </c>
      <c r="M35" t="s">
        <v>373</v>
      </c>
      <c r="N35" s="3">
        <v>0.1</v>
      </c>
    </row>
    <row r="36" spans="1:24">
      <c r="A36">
        <v>3</v>
      </c>
      <c r="G36" t="s">
        <v>349</v>
      </c>
      <c r="H36" t="s">
        <v>99</v>
      </c>
      <c r="I36" s="3">
        <v>1.15</v>
      </c>
      <c r="J36" t="s">
        <v>62</v>
      </c>
      <c r="L36" t="s">
        <v>77</v>
      </c>
      <c r="M36" t="s">
        <v>373</v>
      </c>
      <c r="N36" s="3">
        <v>0.06</v>
      </c>
    </row>
    <row r="37" spans="1:24">
      <c r="A37">
        <v>4</v>
      </c>
      <c r="G37" t="s">
        <v>350</v>
      </c>
      <c r="H37" t="s">
        <v>99</v>
      </c>
      <c r="I37" s="3">
        <v>1</v>
      </c>
      <c r="M37" t="s">
        <v>373</v>
      </c>
      <c r="N37" s="3">
        <v>0.08</v>
      </c>
    </row>
    <row r="38" spans="1:24">
      <c r="A38">
        <v>5</v>
      </c>
      <c r="B38"/>
      <c r="G38" t="s">
        <v>351</v>
      </c>
      <c r="H38" t="s">
        <v>99</v>
      </c>
      <c r="I38" s="3">
        <v>0.85</v>
      </c>
      <c r="M38" t="s">
        <v>373</v>
      </c>
      <c r="N38" s="3">
        <v>0.1</v>
      </c>
    </row>
    <row r="39" spans="1:24">
      <c r="G39" t="s">
        <v>375</v>
      </c>
    </row>
    <row r="40" spans="1:24">
      <c r="G40" t="s">
        <v>352</v>
      </c>
      <c r="H40" t="s">
        <v>31</v>
      </c>
      <c r="J40" t="s">
        <v>135</v>
      </c>
      <c r="N40" t="s">
        <v>16</v>
      </c>
      <c r="P40" t="s">
        <v>22</v>
      </c>
      <c r="R40" t="s">
        <v>139</v>
      </c>
      <c r="T40" t="s">
        <v>306</v>
      </c>
      <c r="V40" t="s">
        <v>308</v>
      </c>
      <c r="X40" t="s">
        <v>151</v>
      </c>
    </row>
  </sheetData>
  <mergeCells count="1">
    <mergeCell ref="A33:D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K19:N46"/>
  <sheetViews>
    <sheetView workbookViewId="0">
      <selection activeCell="N41" sqref="N41"/>
    </sheetView>
  </sheetViews>
  <sheetFormatPr defaultColWidth="9" defaultRowHeight="13.5"/>
  <cols>
    <col min="11" max="16" width="20.6666666666667" customWidth="1"/>
  </cols>
  <sheetData>
    <row r="19" spans="11:14">
      <c r="K19" t="s">
        <v>376</v>
      </c>
    </row>
    <row r="21" spans="11:14">
      <c r="K21" t="s">
        <v>132</v>
      </c>
      <c r="L21" t="s">
        <v>360</v>
      </c>
      <c r="M21" t="s">
        <v>377</v>
      </c>
      <c r="N21" t="s">
        <v>378</v>
      </c>
    </row>
    <row r="22" spans="11:14">
      <c r="K22" t="s">
        <v>379</v>
      </c>
      <c r="L22" t="s">
        <v>380</v>
      </c>
      <c r="M22" t="s">
        <v>381</v>
      </c>
      <c r="N22" t="s">
        <v>382</v>
      </c>
    </row>
    <row r="23" spans="11:14">
      <c r="K23" t="s">
        <v>383</v>
      </c>
      <c r="L23" t="s">
        <v>384</v>
      </c>
      <c r="M23" t="s">
        <v>385</v>
      </c>
      <c r="N23" t="s">
        <v>386</v>
      </c>
    </row>
    <row r="24" spans="11:14">
      <c r="K24" t="s">
        <v>387</v>
      </c>
      <c r="L24" t="s">
        <v>388</v>
      </c>
      <c r="M24" t="s">
        <v>389</v>
      </c>
      <c r="N24" t="s">
        <v>390</v>
      </c>
    </row>
    <row r="25" spans="11:14">
      <c r="K25" t="s">
        <v>391</v>
      </c>
      <c r="L25" t="s">
        <v>392</v>
      </c>
      <c r="M25" t="s">
        <v>393</v>
      </c>
      <c r="N25" t="s">
        <v>394</v>
      </c>
    </row>
    <row r="26" spans="11:14">
      <c r="K26" t="s">
        <v>395</v>
      </c>
      <c r="L26" t="s">
        <v>396</v>
      </c>
      <c r="M26" t="s">
        <v>397</v>
      </c>
      <c r="N26" t="s">
        <v>398</v>
      </c>
    </row>
    <row r="33" spans="11:12">
      <c r="K33" t="s">
        <v>399</v>
      </c>
    </row>
    <row r="35" spans="11:12">
      <c r="K35" t="s">
        <v>400</v>
      </c>
      <c r="L35" t="s">
        <v>401</v>
      </c>
    </row>
    <row r="36" spans="11:12">
      <c r="K36" t="s">
        <v>402</v>
      </c>
      <c r="L36" t="s">
        <v>403</v>
      </c>
    </row>
    <row r="37" spans="11:12">
      <c r="K37" t="s">
        <v>404</v>
      </c>
      <c r="L37" t="s">
        <v>405</v>
      </c>
    </row>
    <row r="38" spans="11:12">
      <c r="K38" t="s">
        <v>406</v>
      </c>
      <c r="L38" t="s">
        <v>407</v>
      </c>
    </row>
    <row r="39" spans="11:12">
      <c r="K39" t="s">
        <v>408</v>
      </c>
      <c r="L39" t="s">
        <v>409</v>
      </c>
    </row>
    <row r="40" spans="11:12">
      <c r="K40" t="s">
        <v>410</v>
      </c>
    </row>
    <row r="41" spans="11:12">
      <c r="K41" t="s">
        <v>132</v>
      </c>
      <c r="L41" t="s">
        <v>411</v>
      </c>
    </row>
    <row r="42" spans="11:12">
      <c r="K42" t="s">
        <v>379</v>
      </c>
      <c r="L42" t="s">
        <v>412</v>
      </c>
    </row>
    <row r="43" spans="11:12">
      <c r="K43" t="s">
        <v>383</v>
      </c>
      <c r="L43" t="s">
        <v>413</v>
      </c>
    </row>
    <row r="44" spans="11:12">
      <c r="K44" t="s">
        <v>387</v>
      </c>
      <c r="L44" t="s">
        <v>414</v>
      </c>
    </row>
    <row r="45" spans="11:12">
      <c r="K45" t="s">
        <v>391</v>
      </c>
      <c r="L45" t="s">
        <v>415</v>
      </c>
    </row>
    <row r="46" spans="11:12">
      <c r="K46" t="s">
        <v>395</v>
      </c>
      <c r="L46" t="s">
        <v>416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1:S40"/>
  <sheetViews>
    <sheetView workbookViewId="0">
      <selection activeCell="K34" sqref="K34"/>
    </sheetView>
  </sheetViews>
  <sheetFormatPr defaultColWidth="9" defaultRowHeight="13.5"/>
  <sheetData>
    <row r="11" spans="9:19">
      <c r="I11" t="s">
        <v>417</v>
      </c>
      <c r="K11" t="s">
        <v>418</v>
      </c>
      <c r="Q11" t="s">
        <v>419</v>
      </c>
      <c r="S11" t="s">
        <v>420</v>
      </c>
    </row>
    <row r="13" spans="9:19">
      <c r="I13" t="s">
        <v>421</v>
      </c>
      <c r="J13" t="s">
        <v>422</v>
      </c>
      <c r="K13" t="s">
        <v>85</v>
      </c>
      <c r="Q13" t="s">
        <v>423</v>
      </c>
      <c r="R13" t="s">
        <v>422</v>
      </c>
      <c r="S13" t="s">
        <v>85</v>
      </c>
    </row>
    <row r="14" spans="9:19">
      <c r="I14" t="s">
        <v>424</v>
      </c>
      <c r="J14" t="s">
        <v>425</v>
      </c>
      <c r="K14" t="s">
        <v>426</v>
      </c>
      <c r="Q14" t="s">
        <v>99</v>
      </c>
      <c r="R14" t="s">
        <v>427</v>
      </c>
      <c r="S14" t="s">
        <v>428</v>
      </c>
    </row>
    <row r="15" spans="9:19">
      <c r="I15" t="s">
        <v>69</v>
      </c>
      <c r="J15" t="s">
        <v>427</v>
      </c>
      <c r="K15" t="s">
        <v>429</v>
      </c>
      <c r="Q15" t="s">
        <v>54</v>
      </c>
      <c r="R15" t="s">
        <v>427</v>
      </c>
      <c r="S15" t="s">
        <v>428</v>
      </c>
    </row>
    <row r="16" spans="9:19">
      <c r="I16" t="s">
        <v>82</v>
      </c>
      <c r="J16" t="s">
        <v>425</v>
      </c>
      <c r="K16" t="s">
        <v>430</v>
      </c>
      <c r="Q16" t="s">
        <v>41</v>
      </c>
      <c r="R16" t="s">
        <v>425</v>
      </c>
      <c r="S16" t="s">
        <v>431</v>
      </c>
    </row>
    <row r="17" spans="9:19">
      <c r="I17" t="s">
        <v>432</v>
      </c>
      <c r="J17" t="s">
        <v>427</v>
      </c>
      <c r="K17" t="s">
        <v>433</v>
      </c>
      <c r="Q17" t="s">
        <v>66</v>
      </c>
      <c r="R17" t="s">
        <v>425</v>
      </c>
      <c r="S17" t="s">
        <v>434</v>
      </c>
    </row>
    <row r="18" spans="9:19">
      <c r="I18" t="s">
        <v>435</v>
      </c>
      <c r="J18" t="s">
        <v>436</v>
      </c>
      <c r="K18" t="s">
        <v>437</v>
      </c>
      <c r="Q18" t="s">
        <v>67</v>
      </c>
      <c r="R18" t="s">
        <v>425</v>
      </c>
      <c r="S18" t="s">
        <v>434</v>
      </c>
    </row>
    <row r="19" spans="9:19">
      <c r="I19" t="s">
        <v>26</v>
      </c>
      <c r="J19" t="s">
        <v>436</v>
      </c>
      <c r="K19" t="s">
        <v>438</v>
      </c>
      <c r="Q19" t="s">
        <v>62</v>
      </c>
      <c r="R19" t="s">
        <v>21</v>
      </c>
      <c r="S19" t="s">
        <v>439</v>
      </c>
    </row>
    <row r="20" spans="9:19">
      <c r="I20" t="s">
        <v>440</v>
      </c>
      <c r="J20" t="s">
        <v>21</v>
      </c>
      <c r="K20" t="s">
        <v>441</v>
      </c>
      <c r="Q20" t="s">
        <v>77</v>
      </c>
      <c r="R20" t="s">
        <v>21</v>
      </c>
      <c r="S20" t="s">
        <v>442</v>
      </c>
    </row>
    <row r="21" spans="9:19">
      <c r="I21" t="s">
        <v>443</v>
      </c>
      <c r="J21" t="s">
        <v>436</v>
      </c>
      <c r="K21" t="s">
        <v>444</v>
      </c>
      <c r="Q21" t="s">
        <v>435</v>
      </c>
      <c r="R21" t="s">
        <v>436</v>
      </c>
      <c r="S21" t="s">
        <v>445</v>
      </c>
    </row>
    <row r="22" spans="9:19">
      <c r="Q22" t="s">
        <v>26</v>
      </c>
      <c r="R22" t="s">
        <v>436</v>
      </c>
      <c r="S22" t="s">
        <v>446</v>
      </c>
    </row>
    <row r="23" spans="9:19">
      <c r="Q23" t="s">
        <v>69</v>
      </c>
      <c r="R23" t="s">
        <v>436</v>
      </c>
      <c r="S23" t="s">
        <v>447</v>
      </c>
    </row>
    <row r="25" spans="9:19">
      <c r="I25" t="s">
        <v>30</v>
      </c>
      <c r="J25" t="s">
        <v>448</v>
      </c>
      <c r="Q25" t="s">
        <v>449</v>
      </c>
      <c r="R25" t="s">
        <v>450</v>
      </c>
    </row>
    <row r="26" spans="9:19">
      <c r="I26" t="s">
        <v>451</v>
      </c>
      <c r="J26" t="s">
        <v>452</v>
      </c>
      <c r="Q26" t="s">
        <v>453</v>
      </c>
      <c r="R26" t="s">
        <v>454</v>
      </c>
    </row>
    <row r="27" spans="9:19">
      <c r="I27" t="s">
        <v>455</v>
      </c>
      <c r="J27" t="s">
        <v>456</v>
      </c>
      <c r="Q27" t="s">
        <v>457</v>
      </c>
      <c r="R27" t="s">
        <v>458</v>
      </c>
    </row>
    <row r="28" spans="9:19">
      <c r="I28" t="s">
        <v>459</v>
      </c>
      <c r="J28" t="s">
        <v>460</v>
      </c>
      <c r="Q28" t="s">
        <v>461</v>
      </c>
      <c r="R28" t="s">
        <v>462</v>
      </c>
    </row>
    <row r="29" spans="9:19">
      <c r="I29" t="s">
        <v>463</v>
      </c>
      <c r="J29" t="s">
        <v>464</v>
      </c>
      <c r="Q29" t="s">
        <v>465</v>
      </c>
      <c r="R29" t="s">
        <v>466</v>
      </c>
    </row>
    <row r="30" spans="9:19">
      <c r="I30" t="s">
        <v>467</v>
      </c>
      <c r="J30" t="s">
        <v>468</v>
      </c>
    </row>
    <row r="35" spans="9:13">
      <c r="I35" t="s">
        <v>469</v>
      </c>
    </row>
    <row r="36" ht="14.25" spans="9:13">
      <c r="I36" s="1" t="s">
        <v>470</v>
      </c>
      <c r="J36">
        <v>10</v>
      </c>
      <c r="K36" s="2" t="s">
        <v>471</v>
      </c>
      <c r="L36" s="2"/>
      <c r="M36" s="2"/>
    </row>
    <row r="37" spans="9:13">
      <c r="I37" t="s">
        <v>472</v>
      </c>
      <c r="J37">
        <v>30</v>
      </c>
    </row>
    <row r="38" spans="9:13">
      <c r="I38" t="s">
        <v>473</v>
      </c>
      <c r="J38">
        <v>55</v>
      </c>
    </row>
    <row r="39" spans="9:13">
      <c r="I39" t="s">
        <v>474</v>
      </c>
      <c r="J39">
        <v>80</v>
      </c>
    </row>
    <row r="40" spans="9:13">
      <c r="I40" t="s">
        <v>475</v>
      </c>
      <c r="J40">
        <v>100</v>
      </c>
    </row>
  </sheetData>
  <mergeCells count="1">
    <mergeCell ref="K36:M3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476</v>
      </c>
    </row>
    <row r="10" spans="8:16">
      <c r="H10" t="s">
        <v>477</v>
      </c>
      <c r="O10" t="s">
        <v>478</v>
      </c>
    </row>
    <row r="11" spans="8:16">
      <c r="O11" t="s">
        <v>479</v>
      </c>
      <c r="P11" t="s">
        <v>480</v>
      </c>
    </row>
    <row r="12" spans="8:16">
      <c r="H12" t="s">
        <v>479</v>
      </c>
      <c r="I12" t="s">
        <v>360</v>
      </c>
      <c r="J12" t="s">
        <v>481</v>
      </c>
      <c r="K12" t="s">
        <v>378</v>
      </c>
      <c r="O12" t="s">
        <v>482</v>
      </c>
      <c r="P12" t="s">
        <v>483</v>
      </c>
    </row>
    <row r="13" spans="8:16">
      <c r="H13" t="s">
        <v>482</v>
      </c>
      <c r="I13" t="s">
        <v>484</v>
      </c>
      <c r="J13" t="s">
        <v>485</v>
      </c>
      <c r="K13" t="s">
        <v>486</v>
      </c>
      <c r="O13" t="s">
        <v>487</v>
      </c>
      <c r="P13" t="s">
        <v>488</v>
      </c>
    </row>
    <row r="14" spans="8:16">
      <c r="H14" t="s">
        <v>487</v>
      </c>
      <c r="I14" t="s">
        <v>489</v>
      </c>
      <c r="J14" t="s">
        <v>490</v>
      </c>
      <c r="K14" t="s">
        <v>491</v>
      </c>
      <c r="O14" t="s">
        <v>492</v>
      </c>
      <c r="P14" t="s">
        <v>493</v>
      </c>
    </row>
    <row r="15" spans="8:16">
      <c r="H15" t="s">
        <v>492</v>
      </c>
      <c r="I15" t="s">
        <v>494</v>
      </c>
      <c r="J15" t="s">
        <v>395</v>
      </c>
      <c r="K15" t="s">
        <v>495</v>
      </c>
      <c r="O15" t="s">
        <v>496</v>
      </c>
      <c r="P15" t="s">
        <v>497</v>
      </c>
    </row>
    <row r="16" spans="8:16">
      <c r="H16" t="s">
        <v>496</v>
      </c>
      <c r="I16" t="s">
        <v>498</v>
      </c>
      <c r="J16" t="s">
        <v>499</v>
      </c>
      <c r="K16" t="s">
        <v>500</v>
      </c>
      <c r="O16" t="s">
        <v>501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22" workbookViewId="0">
      <selection activeCell="T13" sqref="T13"/>
    </sheetView>
  </sheetViews>
  <sheetFormatPr defaultColWidth="9" defaultRowHeight="13.5"/>
  <sheetData>
    <row r="4" spans="10:18">
      <c r="R4" t="s">
        <v>502</v>
      </c>
    </row>
    <row r="5" spans="10:18">
      <c r="J5" t="s">
        <v>503</v>
      </c>
      <c r="R5" t="s">
        <v>504</v>
      </c>
    </row>
    <row r="6" spans="10:18">
      <c r="J6" t="s">
        <v>505</v>
      </c>
      <c r="K6" t="s">
        <v>506</v>
      </c>
      <c r="R6" t="s">
        <v>507</v>
      </c>
    </row>
    <row r="7" spans="10:18">
      <c r="J7" t="s">
        <v>10</v>
      </c>
      <c r="K7" t="s">
        <v>508</v>
      </c>
    </row>
    <row r="8" spans="10:18">
      <c r="J8" t="s">
        <v>11</v>
      </c>
      <c r="K8" t="s">
        <v>509</v>
      </c>
    </row>
    <row r="9" spans="10:18">
      <c r="J9" t="s">
        <v>510</v>
      </c>
      <c r="K9">
        <v>0</v>
      </c>
    </row>
    <row r="17" spans="10:12">
      <c r="J17" t="s">
        <v>511</v>
      </c>
    </row>
    <row r="19" spans="10:12">
      <c r="J19" t="s">
        <v>512</v>
      </c>
    </row>
    <row r="20" spans="10:12">
      <c r="J20" t="s">
        <v>87</v>
      </c>
      <c r="K20" t="s">
        <v>280</v>
      </c>
      <c r="L20" t="s">
        <v>513</v>
      </c>
    </row>
    <row r="21" spans="10:12">
      <c r="J21" t="s">
        <v>131</v>
      </c>
      <c r="K21">
        <v>0.4</v>
      </c>
      <c r="L21">
        <v>0.24</v>
      </c>
    </row>
    <row r="22" spans="10:12">
      <c r="J22" t="s">
        <v>514</v>
      </c>
      <c r="K22">
        <v>0.3</v>
      </c>
      <c r="L22">
        <v>0.18</v>
      </c>
    </row>
    <row r="23" spans="10:12">
      <c r="J23" t="s">
        <v>515</v>
      </c>
      <c r="K23">
        <v>0.2</v>
      </c>
      <c r="L23">
        <v>0.12</v>
      </c>
    </row>
    <row r="24" spans="10:12">
      <c r="J24" t="s">
        <v>516</v>
      </c>
      <c r="K24">
        <v>0.1</v>
      </c>
      <c r="L24">
        <v>0.06</v>
      </c>
    </row>
    <row r="25" spans="10:12">
      <c r="J25" t="s">
        <v>517</v>
      </c>
      <c r="K25">
        <v>1</v>
      </c>
      <c r="L25">
        <v>0.6</v>
      </c>
    </row>
    <row r="26" spans="10:12">
      <c r="J26" t="s">
        <v>518</v>
      </c>
    </row>
    <row r="29" spans="10:12">
      <c r="J29" t="s">
        <v>519</v>
      </c>
    </row>
    <row r="31" spans="10:12">
      <c r="J31" t="s">
        <v>520</v>
      </c>
    </row>
    <row r="32" spans="10:12">
      <c r="J32" t="s">
        <v>87</v>
      </c>
      <c r="K32" t="s">
        <v>280</v>
      </c>
      <c r="L32" t="s">
        <v>513</v>
      </c>
    </row>
    <row r="33" spans="10:12">
      <c r="J33" t="s">
        <v>521</v>
      </c>
      <c r="K33">
        <v>0.4</v>
      </c>
      <c r="L33">
        <v>0.2</v>
      </c>
    </row>
    <row r="34" spans="10:12">
      <c r="J34" t="s">
        <v>56</v>
      </c>
      <c r="K34">
        <v>0.3</v>
      </c>
      <c r="L34">
        <v>0.15</v>
      </c>
    </row>
    <row r="35" spans="10:12">
      <c r="J35" t="s">
        <v>52</v>
      </c>
      <c r="K35">
        <v>0.2</v>
      </c>
      <c r="L35">
        <v>0.1</v>
      </c>
    </row>
    <row r="36" spans="10:12">
      <c r="J36" t="s">
        <v>522</v>
      </c>
      <c r="K36">
        <v>0.1</v>
      </c>
      <c r="L36">
        <v>0.05</v>
      </c>
    </row>
    <row r="37" spans="10:12">
      <c r="J37" t="s">
        <v>517</v>
      </c>
      <c r="K37">
        <v>1</v>
      </c>
      <c r="L37">
        <v>0.5</v>
      </c>
    </row>
    <row r="38" spans="10:12">
      <c r="J38" t="s">
        <v>523</v>
      </c>
    </row>
    <row r="41" spans="10:12">
      <c r="J41" t="s">
        <v>524</v>
      </c>
    </row>
    <row r="43" spans="10:12">
      <c r="J43" t="s">
        <v>525</v>
      </c>
    </row>
    <row r="44" spans="10:12">
      <c r="J44" t="s">
        <v>526</v>
      </c>
    </row>
    <row r="46" spans="10:12">
      <c r="J46" t="s">
        <v>87</v>
      </c>
      <c r="K46" t="s">
        <v>280</v>
      </c>
      <c r="L46" t="s">
        <v>85</v>
      </c>
    </row>
    <row r="47" spans="10:12">
      <c r="J47" t="s">
        <v>527</v>
      </c>
      <c r="K47">
        <v>0.3</v>
      </c>
      <c r="L47" t="s">
        <v>528</v>
      </c>
    </row>
    <row r="48" spans="10:12">
      <c r="J48" t="s">
        <v>529</v>
      </c>
      <c r="K48">
        <v>0.2</v>
      </c>
      <c r="L48" t="s">
        <v>530</v>
      </c>
    </row>
    <row r="49" spans="10:12">
      <c r="J49" t="s">
        <v>531</v>
      </c>
      <c r="K49">
        <v>0.25</v>
      </c>
      <c r="L49" t="s">
        <v>532</v>
      </c>
    </row>
    <row r="50" spans="10:12">
      <c r="J50" t="s">
        <v>35</v>
      </c>
      <c r="K50">
        <v>0.15</v>
      </c>
      <c r="L50" t="s">
        <v>428</v>
      </c>
    </row>
    <row r="51" spans="10:12">
      <c r="J51" t="s">
        <v>25</v>
      </c>
      <c r="K51">
        <v>0.1</v>
      </c>
      <c r="L51" t="s">
        <v>533</v>
      </c>
    </row>
    <row r="52" spans="10:12">
      <c r="J52" t="s">
        <v>39</v>
      </c>
      <c r="K52" t="s">
        <v>534</v>
      </c>
      <c r="L52" t="s">
        <v>535</v>
      </c>
    </row>
    <row r="53" spans="10:12">
      <c r="J53" t="s">
        <v>536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tabSelected="1" workbookViewId="0">
      <selection activeCell="A1" sqref="A1:E1"/>
    </sheetView>
  </sheetViews>
  <sheetFormatPr defaultColWidth="9" defaultRowHeight="13.5" outlineLevelCol="1"/>
  <sheetData>
    <row r="1" spans="2:2">
      <c r="B1" t="s">
        <v>537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2026-08-20T16:10:06Z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