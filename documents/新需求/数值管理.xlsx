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7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宠物与坐骑列表" sheetId="13" r:id="rId8"/>
    <sheet name="天赋系统" sheetId="5" r:id="rId9"/>
    <sheet name="属性来源预算比例" sheetId="6" r:id="rId10"/>
    <sheet name="神器与法宝" sheetId="9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<sst xmlns="http://schemas.openxmlformats.org/spreadsheetml/2006/main" count="3762" uniqueCount="1947">
  <si>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</si>
  <si>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</si>
  <si>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</si>
  <si>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</si>
  <si>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</si>
  <si>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</si>
  <si>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</si>
  <si>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</si>
  <si>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</si>
  <si>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</si>
  <si>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</si>
  <si>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</si>
  <si>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</si>
  <si>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</si>
  <si>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</si>
  <si>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</si>
  <si>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</si>
  <si>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</si>
  <si>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</si>
  <si>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</si>
  <si>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</si>
  <si>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</si>
  <si>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</si>
  <si>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</si>
  <si>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</si>
  <si>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</si>
  <si>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</si>
  <si>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</si>
  <si>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</si>
  <si>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</si>
  <si>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</si>
  <si>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</si>
  <si>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</si>
  <si>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</si>
  <si>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</si>
  <si>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</si>
  <si>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</si>
  <si>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</si>
  <si>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</si>
  <si>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</si>
  <si>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</si>
  <si>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</si>
  <si>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</si>
  <si>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</si>
  <si>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</si>
  <si>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</si>
  <si>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</si>
  <si>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</si>
  <si>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</si>
  <si>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</si>
  <si>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</si>
  <si>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</si>
  <si>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</si>
  <si>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</si>
  <si>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</si>
  <si>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</si>
  <si>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</si>
  <si>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</si>
  <si>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</si>
  <si>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</si>
  <si>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</si>
  <si>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</si>
  <si>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</si>
  <si>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</si>
  <si>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</si>
  <si>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</si>
  <si>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</si>
  <si>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</si>
  <si>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</si>
  <si>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</si>
  <si>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</si>
  <si>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</si>
  <si>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</si>
  <si>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</si>
  <si>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</si>
  <si>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</si>
  <si>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</si>
  <si>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</si>
  <si>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</si>
  <si>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</si>
  <si>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</si>
  <si>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</si>
  <si>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</si>
  <si>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</si>
  <si>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</si>
  <si>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</si>
  <si>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</si>
  <si>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</si>
  <si>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</si>
  <si>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</si>
  <si>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</si>
  <si>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</si>
  <si>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</si>
  <si>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</si>
  <si>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</si>
  <si>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</si>
  <si>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</si>
  <si>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</si>
  <si>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</si>
  <si>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</si>
  <si>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</si>
  <si>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</si>
  <si>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</si>
  <si>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</si>
  <si>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</si>
  <si>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</si>
  <si>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</si>
  <si>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</si>
  <si>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</si>
  <si>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</si>
  <si>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</si>
  <si>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</si>
  <si>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</si>
  <si>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</si>
  <si>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</si>
  <si>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</si>
  <si>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</si>
  <si>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</si>
  <si>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</si>
  <si>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</si>
  <si>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</si>
  <si>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</si>
  <si>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</si>
  <si>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</si>
  <si>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</si>
  <si>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</si>
  <si>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</si>
  <si>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</si>
  <si>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</si>
  <si>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</si>
  <si>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</si>
  <si>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</si>
  <si>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</si>
  <si>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</si>
  <si>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</si>
  <si>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</si>
  <si>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</si>
  <si>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</si>
  <si>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</si>
  <si>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</si>
  <si>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</si>
  <si>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</si>
  <si>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</si>
  <si>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</si>
  <si>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</si>
  <si>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</si>
  <si>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</si>
  <si>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</si>
  <si>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</si>
  <si>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</si>
  <si>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</si>
  <si>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</si>
  <si>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</si>
  <si>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</si>
  <si>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</si>
  <si>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</si>
  <si>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</si>
  <si>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</si>
  <si>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</si>
  <si>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</si>
  <si>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</si>
  <si>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</si>
  <si>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</si>
  <si>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</si>
  <si>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</si>
  <si>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</si>
  <si>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</si>
  <si>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</si>
  <si>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</si>
  <si>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</si>
  <si>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</si>
  <si>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</si>
  <si>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</si>
  <si>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</si>
  <si>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</si>
  <si>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</si>
  <si>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</si>
  <si>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</si>
  <si>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</si>
  <si>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</si>
  <si>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</si>
  <si>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</si>
  <si>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</si>
  <si>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</si>
  <si>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</si>
  <si>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</si>
  <si>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</si>
  <si>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</si>
  <si>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</si>
  <si>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</si>
  <si>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</si>
  <si>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</si>
  <si>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</si>
  <si>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</si>
  <si>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</si>
  <si>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</si>
  <si>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</si>
  <si>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</si>
  <si>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</si>
  <si>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</si>
  <si>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</si>
  <si>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</si>
  <si>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</si>
  <si>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</si>
  <si>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</si>
  <si>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</si>
  <si>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</si>
  <si>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</si>
  <si>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</si>
  <si>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</si>
  <si>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</si>
  <si>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</si>
  <si>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</si>
  <si>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</si>
  <si>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</si>
  <si>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</si>
  <si>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</si>
  <si>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</si>
  <si>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</si>
  <si>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</si>
  <si>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</si>
  <si>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</si>
  <si>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</si>
  <si>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</si>
  <si>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</si>
  <si>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</si>
  <si>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</si>
  <si>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</si>
  <si>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</si>
  <si>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</si>
  <si>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</si>
  <si>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</si>
  <si>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</si>
  <si>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</si>
  <si>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</si>
  <si>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</si>
  <si>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</si>
  <si>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</si>
  <si>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</si>
  <si>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</si>
  <si>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</si>
  <si>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</si>
  <si>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</si>
  <si>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</si>
  <si>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</si>
  <si>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</si>
  <si>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</si>
  <si>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</si>
  <si>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</si>
  <si>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</si>
  <si>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</si>
  <si>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</si>
  <si>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</si>
  <si>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</si>
  <si>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</si>
  <si>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</si>
  <si>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</si>
  <si>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</si>
  <si>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</si>
  <si>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</si>
  <si>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</si>
  <si>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</si>
  <si>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</si>
  <si>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</si>
  <si>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</si>
  <si>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</si>
  <si>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</si>
  <si>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</si>
  <si>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</si>
  <si>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</si>
  <si>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</si>
  <si>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</si>
  <si>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</si>
  <si>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</si>
  <si>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</si>
  <si>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</si>
  <si>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</si>
  <si>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</si>
  <si>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</si>
  <si>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</si>
  <si>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</si>
  <si>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</si>
  <si>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</si>
  <si>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</si>
  <si>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</si>
  <si>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</si>
  <si>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</si>
  <si>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</si>
  <si>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</si>
  <si>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</si>
  <si>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</si>
  <si>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</si>
  <si>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</si>
  <si>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</si>
  <si>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</si>
  <si>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</si>
  <si>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</si>
  <si>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</si>
  <si>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</si>
  <si>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</si>
  <si>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</si>
  <si>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</si>
  <si>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</si>
  <si>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</si>
  <si>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</si>
  <si>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</si>
  <si>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</si>
  <si>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</si>
  <si>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</si>
  <si>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</si>
  <si>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</si>
  <si>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</si>
  <si>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</si>
  <si>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</si>
  <si>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</si>
  <si>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</si>
  <si>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</si>
  <si>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</si>
  <si>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</si>
  <si>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</si>
  <si>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</si>
  <si>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</si>
  <si>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</si>
  <si>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</si>
  <si>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</si>
  <si>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</si>
  <si>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</si>
  <si>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</si>
  <si>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</si>
  <si>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</si>
  <si>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</si>
  <si>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</si>
  <si>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</si>
  <si>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</si>
  <si>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资质1.6x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</si>
  <si>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</si>
  <si>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</si>
  <si>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</si>
  <si>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</si>
  <si>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</si>
  <si>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</si>
  <si>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</si>
  <si>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</si>
  <si>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</si>
  <si>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</si>
  <si>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</si>
  <si>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</si>
  <si>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</si>
  <si>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</si>
  <si>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</si>
  <si>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</si>
  <si>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</si>
  <si>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</si>
  <si>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</si>
  <si>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</si>
  <si>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</si>
  <si>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</si>
  <si>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</si>
  <si>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</si>
  <si>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</si>
  <si>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</si>
  <si>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</si>
  <si>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</si>
  <si>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</si>
  <si>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</si>
  <si>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</si>
  <si>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</si>
  <si>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</si>
  <si>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</si>
  <si>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</si>
  <si>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</si>
  <si>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</si>
  <si>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</si>
  <si>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</si>
  <si>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</si>
  <si>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</si>
  <si>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</si>
  <si>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</si>
  <si>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</si>
  <si>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</si>
  <si>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</si>
  <si>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</si>
  <si>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</si>
  <si>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</si>
  <si>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</si>
  <si>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</si>
  <si>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</si>
  <si>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</si>
  <si>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</si>
  <si>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</si>
  <si>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</si>
  <si>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</si>
  <si>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固定</t>
  </si>
  <si>
    <t>随机取一条</t>
  </si>
  <si>
    <t>地品</t>
  </si>
  <si>
    <t>超</t>
  </si>
  <si>
    <t>连击率%</t>
  </si>
  <si>
    <t>速度加成%</t>
  </si>
  <si>
    <t>命中加成%</t>
  </si>
  <si>
    <t>普攻伤害%</t>
  </si>
  <si>
    <t>天品</t>
  </si>
  <si>
    <t>绝</t>
  </si>
  <si>
    <t>刺</t>
  </si>
  <si>
    <t>闪避率%</t>
  </si>
  <si>
    <t>闪避加成%</t>
  </si>
  <si>
    <t>攻击加成%</t>
  </si>
  <si>
    <t>仙品</t>
  </si>
  <si>
    <t>神</t>
  </si>
  <si>
    <t>暴击伤害%</t>
  </si>
  <si>
    <t>真伤%</t>
  </si>
  <si>
    <t>刀</t>
  </si>
  <si>
    <t>暴击率%</t>
  </si>
  <si>
    <t>技能伤害%</t>
  </si>
  <si>
    <t>气血加成%</t>
  </si>
  <si>
    <t>反伤%</t>
  </si>
  <si>
    <t>暴击抵抗%</t>
  </si>
  <si>
    <t>暴伤减免%</t>
  </si>
  <si>
    <t>效果抵抗%</t>
  </si>
  <si>
    <t>阶位</t>
  </si>
  <si>
    <t>免伤率%</t>
  </si>
  <si>
    <t>0.5 - 0.6</t>
  </si>
  <si>
    <t>无</t>
  </si>
  <si>
    <t>饰品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</si>
  <si>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</si>
  <si>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</si>
  <si>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</si>
  <si>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</si>
  <si>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</si>
  <si>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</si>
  <si>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</si>
  <si>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</si>
  <si>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</si>
  <si>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</si>
  <si>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</si>
  <si>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</si>
  <si>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</si>
  <si>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</si>
  <si>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</si>
  <si>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</si>
  <si>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</si>
  <si>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</si>
  <si>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</si>
  <si>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</si>
  <si>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</si>
  <si>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</si>
  <si>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</si>
  <si>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</si>
  <si>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</si>
  <si>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</si>
  <si>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</si>
  <si>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</si>
  <si>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</si>
  <si>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</si>
  <si>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</si>
  <si>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</si>
  <si>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</si>
  <si>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</si>
  <si>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</si>
  <si>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</si>
  <si>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</si>
  <si>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</si>
  <si>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</si>
  <si>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</si>
  <si>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</si>
  <si>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</si>
  <si>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</si>
  <si>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</si>
  <si>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</si>
  <si>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</si>
  <si>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</si>
  <si>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</si>
  <si>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</si>
  <si>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</si>
  <si>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</si>
  <si>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</si>
  <si>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</si>
  <si>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</si>
  <si>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</si>
  <si>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</si>
  <si>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</si>
  <si>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</si>
  <si>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</si>
  <si>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</si>
  <si>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</si>
  <si>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</si>
  <si>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</si>
  <si>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</si>
  <si>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</si>
  <si>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</si>
  <si>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</si>
  <si>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</si>
  <si>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</si>
  <si>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</si>
  <si>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</si>
  <si>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</si>
  <si>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</si>
  <si>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</si>
  <si>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</si>
  <si>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</si>
  <si>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</si>
  <si>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</si>
  <si>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</si>
  <si>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</si>
  <si>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</si>
  <si>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</si>
  <si>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</si>
  <si>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</si>
  <si>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</si>
  <si>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</si>
  <si>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</si>
  <si>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</si>
  <si>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</si>
  <si>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</si>
  <si>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</si>
  <si>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</si>
  <si>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</si>
  <si>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</si>
  <si>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</si>
  <si>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</si>
  <si>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</si>
  <si>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</si>
  <si>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</si>
  <si>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</si>
  <si>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</si>
  <si>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</si>
  <si>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</si>
  <si>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</si>
  <si>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</si>
  <si>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</si>
  <si>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</si>
  <si>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</si>
  <si>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</si>
  <si>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</si>
  <si>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</si>
  <si>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</si>
  <si>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</si>
  <si>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</si>
  <si>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</si>
  <si>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</si>
  <si>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</si>
  <si>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</si>
  <si>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</si>
  <si>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</si>
  <si>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</si>
  <si>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</si>
  <si>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</si>
  <si>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</si>
  <si>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</si>
  <si>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</si>
  <si>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</si>
  <si>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</si>
  <si>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</si>
  <si>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</si>
  <si>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</si>
  <si>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</si>
  <si>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</si>
  <si>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</si>
  <si>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</si>
  <si>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</si>
  <si>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</si>
  <si>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</si>
  <si>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</si>
  <si>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</si>
  <si>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</si>
  <si>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</si>
  <si>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</si>
  <si>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</si>
  <si>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</si>
  <si>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</si>
  <si>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</si>
  <si>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</si>
  <si>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</si>
  <si>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</si>
  <si>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</si>
  <si>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</si>
  <si>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</si>
  <si>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</si>
  <si>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</si>
  <si>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</si>
  <si>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</si>
  <si>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</si>
  <si>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</si>
  <si>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</si>
  <si>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</si>
  <si>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</si>
  <si>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</si>
  <si>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</si>
  <si>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</si>
  <si>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</si>
  <si>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</si>
  <si>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</si>
  <si>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</si>
  <si>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</si>
  <si>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</si>
  <si>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</si>
  <si>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</si>
  <si>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</si>
  <si>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</si>
  <si>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</si>
  <si>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</si>
  <si>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</si>
  <si>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</si>
  <si>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</si>
  <si>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</si>
  <si>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</si>
  <si>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</si>
  <si>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</si>
  <si>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</si>
  <si>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</si>
  <si>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</si>
  <si>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</si>
  <si>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</si>
  <si>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</si>
  <si>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</si>
  <si>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</si>
  <si>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</si>
  <si>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</si>
  <si>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</si>
  <si>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</si>
  <si>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</si>
  <si>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</si>
  <si>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</si>
  <si>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</si>
  <si>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</si>
  <si>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</si>
  <si>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</si>
  <si>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</si>
  <si>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</si>
  <si>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</si>
  <si>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</si>
  <si>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</si>
  <si>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</si>
  <si>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</si>
  <si>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</si>
  <si>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</si>
  <si>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</si>
  <si>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</si>
  <si>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</si>
  <si>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</si>
  <si>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</si>
  <si>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</si>
  <si>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</si>
  <si>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</si>
  <si>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</si>
  <si>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</si>
  <si>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</si>
  <si>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</si>
  <si>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</si>
  <si>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</si>
  <si>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</si>
  <si>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</si>
  <si>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</si>
  <si>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</si>
  <si>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</si>
  <si>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</si>
  <si>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</si>
  <si>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</si>
  <si>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</si>
  <si>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</si>
  <si>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</si>
  <si>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</si>
  <si>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</si>
  <si>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</si>
  <si>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</si>
  <si>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</si>
  <si>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</si>
  <si>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</si>
  <si>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</si>
  <si>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</si>
  <si>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</si>
  <si>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</si>
  <si>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</si>
  <si>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</si>
  <si>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</si>
  <si>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</si>
  <si>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</si>
  <si>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</si>
  <si>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</si>
  <si>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</si>
  <si>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</si>
  <si>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</si>
  <si>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</si>
  <si>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</si>
  <si>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</si>
  <si>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</si>
  <si>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</si>
  <si>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</si>
  <si>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</si>
  <si>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</si>
  <si>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</si>
  <si>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</si>
  <si>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</si>
  <si>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</si>
  <si>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</si>
  <si>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</si>
  <si>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</si>
  <si>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</si>
  <si>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</si>
  <si>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</si>
  <si>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</si>
  <si>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</si>
  <si>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</si>
  <si>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</si>
  <si>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</si>
  <si>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</si>
  <si>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</si>
  <si>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</si>
  <si>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</si>
  <si>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</si>
  <si>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</si>
  <si>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</si>
  <si>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</si>
  <si>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</si>
  <si>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</si>
  <si>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</si>
  <si>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</si>
  <si>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</si>
  <si>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</si>
  <si>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</si>
  <si>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</si>
  <si>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</si>
  <si>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</si>
  <si>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</si>
  <si>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</si>
  <si>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</si>
  <si>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</si>
  <si>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</si>
  <si>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</si>
  <si>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</si>
  <si>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</si>
  <si>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</si>
  <si>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</si>
  <si>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</si>
  <si>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</si>
  <si>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</si>
  <si>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</si>
  <si>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</si>
  <si>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</si>
  <si>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</si>
  <si>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</si>
  <si>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</si>
  <si>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</si>
  <si>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</si>
  <si>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</si>
  <si>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</si>
  <si>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</si>
  <si>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</si>
  <si>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</si>
  <si>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</si>
  <si>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</si>
  <si>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护盾强度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</si>
  <si>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</si>
  <si>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</si>
  <si>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</si>
  <si>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</si>
  <si>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</si>
  <si>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</si>
  <si>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</si>
  <si>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</si>
  <si>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</si>
  <si>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</si>
  <si>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</si>
  <si>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</si>
  <si>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</si>
  <si>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</si>
  <si>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</si>
  <si>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</si>
  <si>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</si>
  <si>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</si>
  <si>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</si>
  <si>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</si>
  <si>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</si>
  <si>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</si>
  <si>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</si>
  <si>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</si>
  <si>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</si>
  <si>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</si>
  <si>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</si>
  <si>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</si>
  <si>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</si>
  <si>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</si>
  <si>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</si>
  <si>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</si>
  <si>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</si>
  <si>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</si>
  <si>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</si>
  <si>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</si>
  <si>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</si>
  <si>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</si>
  <si>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</si>
  <si>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</si>
  <si>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</si>
  <si>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</si>
  <si>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</si>
  <si>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</si>
  <si>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</si>
  <si>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</si>
  <si>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</si>
  <si>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</si>
  <si>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</si>
  <si>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</si>
  <si>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</si>
  <si>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</si>
  <si>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</si>
  <si>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</si>
  <si>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</si>
  <si>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</si>
  <si>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</si>
  <si>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</si>
  <si>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</si>
  <si>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</si>
  <si>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</si>
  <si>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</si>
  <si>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</si>
  <si>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</si>
  <si>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</si>
  <si>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</si>
  <si>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</si>
  <si>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</si>
  <si>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</si>
  <si>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</si>
  <si>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</si>
  <si>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</si>
  <si>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</si>
  <si>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</si>
  <si>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</si>
  <si>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</si>
  <si>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</si>
  <si>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</si>
  <si>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</si>
  <si>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</si>
  <si>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</si>
  <si>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</si>
  <si>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</si>
  <si>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</si>
  <si>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</si>
  <si>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</si>
  <si>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免伤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</si>
  <si>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</si>
  <si>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</si>
  <si>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</si>
  <si>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</si>
  <si>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</si>
  <si>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</si>
  <si>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</si>
  <si>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</si>
  <si>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</si>
  <si>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</si>
  <si>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</si>
  <si>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</si>
  <si>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</si>
  <si>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</si>
  <si>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</si>
  <si>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</si>
  <si>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</si>
  <si>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</si>
  <si>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</si>
  <si>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</si>
  <si>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</si>
  <si>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</si>
  <si>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</si>
  <si>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</si>
  <si>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</si>
  <si>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</si>
  <si>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</si>
  <si>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</si>
  <si>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</si>
  <si>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</si>
  <si>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</si>
  <si>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</si>
  <si>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</si>
  <si>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</si>
  <si>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</si>
  <si>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</si>
  <si>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</si>
  <si>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</si>
  <si>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</si>
  <si>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</si>
  <si>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</si>
  <si>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</si>
  <si>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</si>
  <si>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</si>
  <si>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</si>
  <si>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</si>
  <si>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</si>
  <si>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</si>
  <si>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</si>
  <si>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</si>
  <si>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</si>
  <si>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</si>
  <si>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</si>
  <si>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</si>
  <si>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</si>
  <si>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</si>
  <si>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</si>
  <si>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</si>
  <si>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</si>
  <si>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</si>
  <si>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</si>
  <si>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</si>
  <si>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</si>
  <si>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</si>
  <si>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</si>
  <si>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</si>
  <si>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</si>
  <si>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</si>
  <si>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</si>
  <si>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</si>
  <si>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</si>
  <si>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</si>
  <si>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</si>
  <si>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</si>
  <si>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</si>
  <si>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</si>
  <si>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</si>
  <si>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</si>
  <si>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</si>
  <si>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</si>
  <si>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</si>
  <si>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</si>
  <si>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</si>
  <si>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</si>
  <si>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</si>
  <si>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</si>
  <si>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</si>
  <si>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</si>
  <si>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</si>
  <si>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</si>
  <si>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</si>
  <si>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</si>
  <si>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</si>
  <si>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</si>
  <si>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</si>
  <si>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</si>
  <si>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</si>
  <si>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</si>
  <si>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</si>
  <si>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</si>
  <si>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</si>
  <si>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</si>
  <si>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</si>
  <si>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</si>
  <si>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</si>
  <si>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</si>
  <si>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</si>
  <si>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</si>
  <si>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</si>
  <si>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</si>
  <si>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</si>
  <si>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</si>
  <si>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</si>
  <si>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</si>
  <si>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</si>
  <si>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</si>
  <si>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</si>
  <si>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</si>
  <si>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</si>
  <si>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</si>
  <si>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</si>
  <si>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</si>
  <si>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</si>
  <si>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</si>
  <si>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</si>
  <si>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</si>
  <si>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</si>
  <si>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</si>
  <si>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</si>
  <si>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</si>
  <si>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</si>
  <si>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</si>
  <si>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</si>
  <si>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</si>
  <si>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</si>
  <si>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</si>
  <si>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</si>
  <si>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</si>
  <si>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</si>
  <si>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</si>
  <si>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</si>
  <si>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</si>
  <si>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</si>
  <si>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</si>
  <si>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</si>
  <si>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</si>
  <si>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</si>
  <si>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</si>
  <si>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</si>
  <si>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</si>
  <si>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</si>
  <si>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</si>
  <si>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</si>
  <si>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</si>
  <si>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</si>
  <si>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</si>
  <si>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</si>
  <si>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</si>
  <si>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</si>
  <si>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</si>
  <si>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</si>
  <si>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</si>
  <si>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</si>
  <si>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</si>
  <si>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</si>
  <si>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</si>
  <si>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</si>
  <si>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</si>
  <si>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</si>
  <si>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</si>
  <si>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</si>
  <si>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</si>
  <si>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</si>
  <si>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</si>
  <si>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</si>
  <si>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</si>
  <si>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</si>
  <si>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</si>
  <si>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</si>
  <si>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</si>
  <si>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</si>
  <si>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</si>
  <si>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</si>
  <si>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</si>
  <si>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</si>
  <si>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</si>
  <si>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</si>
  <si>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</si>
  <si>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</si>
  <si>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</si>
  <si>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</si>
  <si>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</si>
  <si>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</si>
  <si>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</si>
  <si>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</si>
  <si>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</si>
  <si>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</si>
  <si>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</si>
  <si>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</si>
  <si>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成长</t>
  </si>
  <si>
    <t>推荐属性</t>
  </si>
  <si>
    <t>1、2、3、4</t>
  </si>
  <si>
    <t>初生期</t>
  </si>
  <si>
    <t>火鸦</t>
  </si>
  <si>
    <t>火属性攻击%、灼烧触发率、攻击灼烧目标独立+8%</t>
  </si>
  <si>
    <t>宠物属性类别</t>
  </si>
  <si>
    <t>幼年期</t>
  </si>
  <si>
    <t>水蛟</t>
  </si>
  <si>
    <t>水属性攻击%、迟缓触发率、对低速目标独立+8%</t>
  </si>
  <si>
    <t>主要属性</t>
  </si>
  <si>
    <t>成长期</t>
  </si>
  <si>
    <t>金猊</t>
  </si>
  <si>
    <t>金属性攻击%、破甲触发率、对高防目标独立+10%</t>
  </si>
  <si>
    <t>成熟期</t>
  </si>
  <si>
    <t>木灵</t>
  </si>
  <si>
    <t>木属性攻击%、禁疗触发率、对回复目标独立+8%</t>
  </si>
  <si>
    <t>完全体</t>
  </si>
  <si>
    <t>土熊</t>
  </si>
  <si>
    <t>土属性攻击%、护盾存在时免伤独立+6%</t>
  </si>
  <si>
    <t>特性</t>
  </si>
  <si>
    <t>3、4品质才有</t>
  </si>
  <si>
    <t>4品质才有、等级成长</t>
  </si>
  <si>
    <t>2、3、4品质才有</t>
  </si>
  <si>
    <t>疾风马</t>
  </si>
  <si>
    <t>速度、闪避率、速度高于目标时闪避+5%</t>
  </si>
  <si>
    <t>玄龟</t>
  </si>
  <si>
    <t>气血、免伤率、护盾存在时免伤独立+6%</t>
  </si>
  <si>
    <t>基础属性相关以外属性是指: 六项基础属性以及相关加成，系数，最终加成</t>
  </si>
  <si>
    <t>战虎</t>
  </si>
  <si>
    <t>速度、反击率、被攻击后反击率+8%</t>
  </si>
  <si>
    <t>白象</t>
  </si>
  <si>
    <t>控制豁免、暴击抵抗、受控制后获得1回合减伤</t>
  </si>
  <si>
    <t>6维加成</t>
  </si>
  <si>
    <t>火麒麟</t>
  </si>
  <si>
    <t>少量速度、火属性抗性、对灼烧目标独立减伤</t>
  </si>
  <si>
    <t>坐骑类型</t>
  </si>
  <si>
    <t>独立被动示例</t>
  </si>
  <si>
    <t>种类</t>
  </si>
  <si>
    <t>速度高于目标时，闪避率+5%</t>
  </si>
  <si>
    <t>亚种</t>
  </si>
  <si>
    <t>变异</t>
  </si>
  <si>
    <t>护盾存在时，免伤独立+6%</t>
  </si>
  <si>
    <t>被攻击后，反击率+8%，持续1回合</t>
  </si>
  <si>
    <t>突破</t>
  </si>
  <si>
    <t>10%+20%+30%</t>
  </si>
  <si>
    <t>资质</t>
  </si>
  <si>
    <t>控制豁免+8%，且受到控制后获得1回合免伤</t>
  </si>
  <si>
    <t>分类</t>
  </si>
  <si>
    <t>1. 疾风马</t>
  </si>
  <si>
    <t>速度/闪避类</t>
  </si>
  <si>
    <t>2. 踏云灵驹</t>
  </si>
  <si>
    <t>3. 追星鹿</t>
  </si>
  <si>
    <t>4. 御风青隼</t>
  </si>
  <si>
    <t>5. 掠影豹</t>
  </si>
  <si>
    <t>6. 幻影妖狼</t>
  </si>
  <si>
    <t>7. 踏雪狐</t>
  </si>
  <si>
    <t>8. 腾云瑞兽</t>
  </si>
  <si>
    <t>9. 穿云燕</t>
  </si>
  <si>
    <t>10. 逐日金乌</t>
  </si>
  <si>
    <t>11. 玄甲龟</t>
  </si>
  <si>
    <t>生存/护盾类</t>
  </si>
  <si>
    <t>12. 震地玄犀</t>
  </si>
  <si>
    <t>13. 磐石牛</t>
  </si>
  <si>
    <t>14. 铁壁白象</t>
  </si>
  <si>
    <t>15. 御寒鹿</t>
  </si>
  <si>
    <t>16. 镇岳巨熊</t>
  </si>
  <si>
    <t>17. 灵泉鹿</t>
  </si>
  <si>
    <t>18. 净世白鹤</t>
  </si>
  <si>
    <t>19. 幻海鲸</t>
  </si>
  <si>
    <t>20. 踏浪灵龟</t>
  </si>
  <si>
    <t>21. 破军马</t>
  </si>
  <si>
    <t>反击/控制类</t>
  </si>
  <si>
    <t>22. 战地猛虎</t>
  </si>
  <si>
    <t>23. 狂血狼</t>
  </si>
  <si>
    <t>24. 裂地棕熊</t>
  </si>
  <si>
    <t>25. 铁甲犀牛</t>
  </si>
  <si>
    <t>26. 幽谷青猿</t>
  </si>
  <si>
    <t>27. 啸风狼</t>
  </si>
  <si>
    <t>28. 撼地神牛</t>
  </si>
  <si>
    <t>29. 幽冥驹</t>
  </si>
  <si>
    <t>30. 镇海蛟</t>
  </si>
  <si>
    <t>31. 烈焰狮</t>
  </si>
  <si>
    <t>辅助/输出类</t>
  </si>
  <si>
    <t>32. 焚天火鹏</t>
  </si>
  <si>
    <t>33. 炽焰马</t>
  </si>
  <si>
    <t>34. 熔岩巨龟</t>
  </si>
  <si>
    <t>35. 赤焰虎</t>
  </si>
  <si>
    <t>36. 苍雷青龙</t>
  </si>
  <si>
    <t>37. 紫电驹</t>
  </si>
  <si>
    <t>38. 惊雷猎豹</t>
  </si>
  <si>
    <t>39. 灵犀角</t>
  </si>
  <si>
    <t>40. 逐月玉兔</t>
  </si>
  <si>
    <t>时</t>
  </si>
  <si>
    <t>固定1(A)</t>
  </si>
  <si>
    <t>固定2(A)</t>
  </si>
  <si>
    <t>固定3</t>
  </si>
  <si>
    <t>固定5(独立被动)</t>
  </si>
  <si>
    <t>暴伤/连击率/真伤率/伤害加成/吸血率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</si>
  <si>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</si>
  <si>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</si>
  <si>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</si>
  <si>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</si>
  <si>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</si>
  <si>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</si>
  <si>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</si>
  <si>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</si>
  <si>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</si>
  <si>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</si>
  <si>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</si>
  <si>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</si>
  <si>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</si>
  <si>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</si>
  <si>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</si>
  <si>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</si>
  <si>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</si>
  <si>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</si>
  <si>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</si>
  <si>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</si>
  <si>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</si>
  <si>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土·守护宠</t>
  </si>
  <si>
    <t>护盾加成+8%</t>
  </si>
  <si>
    <t>免伤率+5%</t>
  </si>
  <si>
    <t>气血加成+8%</t>
  </si>
  <si>
    <t>护盾加成/反弹加成/暴击抵抗/免伤率</t>
  </si>
  <si>
    <t>反击率+6%</t>
  </si>
  <si>
    <t>反击伤害加成+10%</t>
  </si>
  <si>
    <t>被攻击后，反击率+8%，1回合</t>
  </si>
  <si>
    <t>暴击率/暴伤/吸血率/伤害加成</t>
  </si>
  <si>
    <t>免伤率+4%</t>
  </si>
  <si>
    <t>控制豁免+8%，受控后获1回合免伤+10%</t>
  </si>
  <si>
    <t>暴击抵抗/暴伤减免/气血加成/防御加成</t>
  </si>
  <si>
    <t>伤害加成+6%</t>
  </si>
  <si>
    <t>攻击灼烧目标时，伤害独立+6%</t>
  </si>
  <si>
    <t>暴击率/暴伤/真伤率/吸血率</t>
  </si>
  <si>
    <t>xx</t>
  </si>
  <si>
    <t>标准被动（固定5）</t>
  </si>
  <si>
    <t>火</t>
  </si>
  <si>
    <t>烈焰猿</t>
  </si>
  <si>
    <t>灼烧扩散：目标相邻1敌受50%灼烧伤害</t>
  </si>
  <si>
    <t>金</t>
  </si>
  <si>
    <t>金猿</t>
  </si>
  <si>
    <t>金翅鸟</t>
  </si>
  <si>
    <t>命中率+5%</t>
  </si>
  <si>
    <t>对闪避高于自身目标，命中率+8%</t>
  </si>
  <si>
    <t>水</t>
  </si>
  <si>
    <t>水猿</t>
  </si>
  <si>
    <t>水龟</t>
  </si>
  <si>
    <t>速度加成+6%</t>
  </si>
  <si>
    <t>开场全体敌方速度-5%，1回合</t>
  </si>
  <si>
    <t>木</t>
  </si>
  <si>
    <t>木兽</t>
  </si>
  <si>
    <t>对带治疗状态目标，伤害独立+8%</t>
  </si>
  <si>
    <t>土</t>
  </si>
  <si>
    <t>石犀</t>
  </si>
  <si>
    <t>反弹加成+8%</t>
  </si>
  <si>
    <t>护盾破碎后，反伤+10%，1回合</t>
  </si>
  <si>
    <t>变异被动</t>
  </si>
  <si>
    <t>对灼烧目标暴伤独立+10%</t>
  </si>
  <si>
    <t>对带破甲目标，伤害独立+8%</t>
  </si>
  <si>
    <t>---</t>
  </si>
  <si>
    <t>控制成功后，下回合伤害独立+6%</t>
  </si>
  <si>
    <t>治疗溢出转4%最大气血护盾</t>
  </si>
  <si>
    <t>护盾存在时，反弹+15%</t>
  </si>
  <si>
    <t>固定1</t>
  </si>
  <si>
    <t>固定2</t>
  </si>
  <si>
    <t>固定4</t>
  </si>
  <si>
    <t>标准被动</t>
  </si>
  <si>
    <t>速度+1/级</t>
  </si>
  <si>
    <t>闪避+1/级</t>
  </si>
  <si>
    <t>闪避率+5%</t>
  </si>
  <si>
    <t>闪避成功后速度+5%，1回合，叠2</t>
  </si>
  <si>
    <t>护盾存在时，反弹+10%</t>
  </si>
  <si>
    <t>反击命中时吸血+10%</t>
  </si>
  <si>
    <t>豁免控制成功后回复3%最大气血</t>
  </si>
  <si>
    <t>火攻+8%</t>
  </si>
  <si>
    <t>灼烧有25%概率延长1回合</t>
  </si>
  <si>
    <t>核心被动</t>
  </si>
  <si>
    <t>种族能力</t>
  </si>
  <si>
    <t>特质</t>
  </si>
  <si>
    <t>攻击灼烧目标，伤害独立+8%</t>
  </si>
  <si>
    <t>【每3回合】焚击：120%伤害并挂1层灼烧</t>
  </si>
  <si>
    <t>火攻+10%</t>
  </si>
  <si>
    <t>灼烧触发时50%扩散相邻（50%灼烧伤）</t>
  </si>
  <si>
    <t>命中后溅射+5%</t>
  </si>
  <si>
    <t>灼烧伤害+20%</t>
  </si>
  <si>
    <t>焰狮</t>
  </si>
  <si>
    <t>暴击时挂1层灼烧（每回合≤2）</t>
  </si>
  <si>
    <t>攻击防御高于自身目标，独立+10%</t>
  </si>
  <si>
    <t>【每3回合】目标挂1层破甲（2回合）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</si>
  <si>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</si>
  <si>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</si>
  <si>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</si>
  <si>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</si>
  <si>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</si>
  <si>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对速度快于自身目标，控制成功+6%</t>
  </si>
  <si>
    <t>【每4回合】减速目标（速度-10%，1回合）</t>
  </si>
  <si>
    <t>控制成功+6%</t>
  </si>
  <si>
    <t>开场全体敌方速度-5%（1回合）</t>
  </si>
  <si>
    <t>【每4回合】最低血友方获盾（8%最大气血）</t>
  </si>
  <si>
    <t>回合结束自身气血&lt;50%，回复6%</t>
  </si>
  <si>
    <t>【每3回合】治疗最低血友方5%</t>
  </si>
  <si>
    <t>对带治疗状态目标，独立+8%</t>
  </si>
  <si>
    <t>【每4回合】目标禁疗（1回合，Boss抗性）</t>
  </si>
  <si>
    <t>【每4回合】全体友方获盾（5%最大气血）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</si>
  <si>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</si>
  <si>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</si>
  <si>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</si>
  <si>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</si>
  <si>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</si>
  <si>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</si>
  <si>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</si>
  <si>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</si>
  <si>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</si>
  <si>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</si>
  <si>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开场全体友方速度+3%（1回合）</t>
  </si>
  <si>
    <t>【每4回合】全体护盾加成+15%（2回合）</t>
  </si>
  <si>
    <t>被攻击后，反击率+8%（1回合）</t>
  </si>
  <si>
    <t>反击命中时回复3%最大气血</t>
  </si>
  <si>
    <t>【每5回合】净化全体1个减益</t>
  </si>
  <si>
    <t>攻击灼烧目标，独立+6%</t>
  </si>
  <si>
    <t>暴击时25%挂灼烧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</si>
  <si>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</si>
  <si>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</si>
  <si>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</si>
  <si>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</si>
  <si>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</si>
  <si>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</si>
  <si>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</si>
  <si>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貔貅（隐藏）</t>
  </si>
  <si>
    <t>击杀时回复全队3%气血</t>
  </si>
  <si>
    <t>敌方获盾时，我方全体破盾伤害+10%</t>
  </si>
  <si>
    <t>根据您的要求，已将40个宠物的数据整理为表格格式（包含全部关键字段），如下所示：</t>
  </si>
  <si>
    <t>| 编号 | 名称 | 品质 | 等级成长（攻/命/速） | 非基础主属性 | 品质附加 | 特性 | 功能 |</t>
  </si>
  <si>
    <t>|------|------|------|----------------------|--------------|----------|------|------|</t>
  </si>
  <si>
    <t>| 1 | 苍梧青雀 | 品质1 | 攻+36 / 命+14 / 速+10 | 火攻+10% | 无 | 攻击灼烧目标时，伤害独立+5% | 火系灼烧输出 |</t>
  </si>
  <si>
    <t>| 2 | 赤霄猊 | 品质1 | 攻+36 / 命+14 / 速+10 | 暴击伤害+10% | 无 | 暴击后，目标防御-3%，持续1回合 | 暴伤破防 |</t>
  </si>
  <si>
    <t>| 3 | 玄霜月鹿 | 品质1 | 攻+20 / 命+30 / 速+10 | 控制命中+10% | 无 | 对速度高于自身的目标，控制成功率+6% | 高速目标控制 |</t>
  </si>
  <si>
    <t>| 4 | 云梦蛟 | 品质1 | 攻+20 / 命+30 / 速+10 | 效果命中+10% | 无 | 施加减速后，目标速度额外-5%，持续1回合 | 深度减速 |</t>
  </si>
  <si>
    <t>| 5 | 金风白鹤 | 品质1 | 攻+36 / 命+14 / 速+10 | 破甲+10% | 无 | 攻击防御高于自身的目标时，伤害独立+8% | 破坚输出 |</t>
  </si>
  <si>
    <t>| 6 | 紫电骅 | 品质1 | 攻+36 / 命+14 / 速+10 | 暴击率+10% | 无 | 目标气血高于80%时，暴击伤害+12% | 压制满血目标 |</t>
  </si>
  <si>
    <t>| 7 | 寒潭玉鲤 | 品质1 | 攻+20 / 命+30 / 速+10 | 命中率+10% | 无 | 攻击减速目标时，命中判定+6% | 稳定命中 |</t>
  </si>
  <si>
    <t>| 8 | 焚天猊 | 品质1 | 攻+36 / 命+14 / 速+10 | 易伤+10% | 无 | 攻击灼烧目标时，目标受到伤害+5% | 火系易伤 |</t>
  </si>
  <si>
    <t>| 9 | 碧落瑶鸾 | 品质2 | 攻+32 / 命+12 / 速+12 | 治疗削减+8% | 攻击加成+4% | 攻击禁疗目标时，伤害+6% | 遏疗输出 |</t>
  </si>
  <si>
    <t>| 10 | 幽篁蛇 | 品质2 | 攻+20 / 命+26 / 速+10 | 效果命中+8% | 命中加成+4% | 攻击缠绕目标时，伤害+6% | 藤缚输出 |</t>
  </si>
  <si>
    <t>| 11 | 青冥鹤 | 品质2 | 攻+20 / 命+26 / 速+10 | 命中率+8% | 命中加成+4% | 攻击破甲目标时，命中判定+6% | 破甲命中 |</t>
  </si>
  <si>
    <t>| 12 | 赤羽凤 | 品质2 | 攻+32 / 命+12 / 速+12 | 技能加成+8% | 攻击加成+4% | 大招命中后，目标火抗-5%，持续1回合 | 大招降抗 |</t>
  </si>
  <si>
    <t>| 13 | 玄冰鲤 | 品质2 | 攻+32 / 命+12 / 速+12 | 真伤率+8% | 攻击加成+4% | 攻击减速目标时，真伤率+5% | 冰系真伤 |</t>
  </si>
  <si>
    <t>| 14 | 金铃鹿 | 品质2 | 攻+20 / 命+12 / 速+24 | 连击率+8% | 速度加成+4% | 连击成功后，下一段连击伤害+8% | 连击输出 |</t>
  </si>
  <si>
    <t>| 15 | 墨雨鲛 | 品质2 | 攻+20 / 命+26 / 速+10 | 效果命中+8% | 命中加成+4% | 施加减速后，目标受疗-8%，持续1回合 | 减速遏疗 |</t>
  </si>
  <si>
    <t>| 16 | 天岚隼 | 品质2 | 攻+20 / 命+12 / 速+24 | 溅射+8% | 速度加成+4% | 普攻有15%概率对相邻目标造成10%溅射 | 清杂补刀 |</t>
  </si>
  <si>
    <t>| 17 | 月照犀 | 品质2 | 攻+32 / 命+12 / 速+12 | 护盾削减+8% | 攻击加成+4% | 攻击护盾目标时，伤害+10% | 破盾压制 |</t>
  </si>
  <si>
    <t>| 18 | 星垂兕 | 品质2 | 攻+32 / 命+12 / 速+12 | 易伤+8% | 攻击加成+4% | 攻击重压目标时，伤害+6% | 重压输出 |</t>
  </si>
  <si>
    <t>| 19 | 风鸣鸟 | 品质2 | 攻+20 / 命+12 / 速+24 | 普攻加成+8% | 速度加成+4% | 普攻后，目标破甲+1层，最多2层 | 普攻削甲 |</t>
  </si>
  <si>
    <t>| 20 | 露冷蟾 | 品质2 | 攻+20 / 命+26 / 速+10 | 初始能量+8 | 命中加成+4% | 大招命中后，能量+5 | 大招回能 |</t>
  </si>
  <si>
    <t>| 21 | 烟横雉 | 品质3 | 攻+30 / 命+12 / 速+10 | 木攻+6% | 攻击加成+4%，攻击系数+4% | 敌方异常状态单位≥2时，玩家伤害+6% | 异常压制 |</t>
  </si>
  <si>
    <t>| 22 | 雪满犀 | 品质3 | 攻+18 / 命+24 / 速+10 | 命中率+6% | 命中加成+4%，命中系数+4% | 对暴露后排目标伤害+8% | 暴露后排打击 |</t>
  </si>
  <si>
    <t>| 23 | 松间麋 | 品质3 | 攻+18 / 命+24 / 速+10 | 治疗削减+6% | 命中加成+4%，命中系数+4% | 攻击受疗降低目标时，伤害+6% | 遏疗打击 |</t>
  </si>
  <si>
    <t>| 24 | 竹里猱 | 品质3 | 攻+18 / 命+12 / 速+22 | 连击率+6% | 速度加成+4%，速度系数+4% | 连击成功后，下次普攻伤害+8% | 连击节奏 |</t>
  </si>
  <si>
    <t>| 25 | 兰皋鹤 | 品质3 | 攻+30 / 命+12 / 速+10 | 技能加成+6% | 攻击加成+4%，攻击系数+4% | 技能命中后，目标金抗-5%，持续1回合 | 金系降抗 |</t>
  </si>
  <si>
    <t>| 26 | 桂魄狐 | 品质3 | 攻+30 / 命+12 / 速+10 | 暴击伤害+6% | 攻击加成+4%，攻击系数+4% | 暴击后，能量+3 | 暴击回能 |</t>
  </si>
  <si>
    <t>| 27 | 桃夭鲤 | 品质3 | 攻+18 / 命+12 / 速+22 | 溅射+6% | 速度加成+4%，速度系数+4% | 溅射目标受到火系伤害+6% | 火系溅射 |</t>
  </si>
  <si>
    <t>| 28 | 荷露蛇 | 品质3 | 攻+18 / 命+24 / 速+10 | 效果命中+6% | 命中加成+4%，命中系数+4% | 施加缠绕时，目标速度-5%，持续1回合 | 缠绕减速 |</t>
  </si>
  <si>
    <t>| 29 | 菊潭猿 | 品质3 | 攻+30 / 命+12 / 速+10 | 破甲+6% | 攻击加成+4%，攻击系数+4% | 攻击破甲目标时，真伤率+5% | 破甲真伤 |</t>
  </si>
  <si>
    <t>| 30 | 梅岭獾 | 品质3 | 攻+18 / 命+24 / 速+10 | 反伤削减+6% | 命中加成+4%，命中系数+4% | 攻击拥有反伤加成的目标时，伤害+8% | 压制反伤目标 |</t>
  </si>
  <si>
    <t>| 31 | 沧浪鸥 | 品质4 | 攻+28 / 命+10 / 速+10 | 伤害加成+6% | 攻击加成+4%，攻击系数+4%，最终攻击+2% | 对后排目标伤害+8% | 后排压制 |</t>
  </si>
  <si>
    <t>| 32 | 弱水凫 | 品质4 | 攻+16 / 命+22 / 速+10 | 护盾削减+6% | 命中加成+4%，命中系数+4%，最终命中+2% | 攻击护盾目标时，目标护盾加成-8%，持续1回合 | 破盾削弱 |</t>
  </si>
  <si>
    <t>| 33 | 昆仑豹 | 品质4 | 攻+28 / 命+10 / 速+10 | 暴击率+6% | 攻击加成+4%，攻击系数+4%，最终攻击+2% | 暴击后，目标闪避-3%，持续1回合 | 暴击压闪 |</t>
  </si>
  <si>
    <t>| 34 | 蓬莱蟹 | 品质4 | 攻+16 / 命+22 / 速+10 | 治疗削减+6% | 命中加成+4%，命中系数+4%，最终命中+2% | 攻击受疗降低目标时，目标防御-5%，持续1回合 | 遏疗破防 |</t>
  </si>
  <si>
    <t>| 35 | 瀛洲蟾 | 品质4 | 攻+16 / 命+10 / 速+22 | 能量获取效率+6% | 速度加成+4%，速度系数+4%，最终速度+2% | 战斗开始时，能量+5 | 开局启动 |</t>
  </si>
  <si>
    <t>| 36 | 方壶鹿 | 品质4 | 攻+16 / 命+22 / 速+10 | 控制命中+6% | 命中加成+4%，命中系数+4%，最终命中+2% | 控制命中后，目标防御-5%，持续1回合 | 控场破防 |</t>
  </si>
  <si>
    <t>| 37 | 槐安蝶 | 品质4 | 攻+16 / 命+22 / 速+10 | 效果命中+6% | 命中加成+4%，命中系数+4%，最终命中+2% | 施加减益后，目标命中-5%，持续1回合 | 减益干扰 |</t>
  </si>
  <si>
    <t>| 38 | 华胥鸾 | 品质4 | 攻+28 / 命+10 / 速+10 | 火攻+6% | 攻击加成+4%，攻击系数+4%，最终攻击+2% | 目标气血低于30%时，伤害独立+8% | 残血斩杀 |</t>
  </si>
  <si>
    <t>| 39 | 广寒兔 | 品质4 | 攻+16 / 命+10 / 速+22 | 普攻加成+6% | 速度加成+4%，速度系数+4%，最终速度+2% | 普攻后，目标速度-5%，持续1回合 | 普攻缓速 |</t>
  </si>
  <si>
    <t>| 40 | 赤城猿 | 品质4 | 攻+28 / 命+10 / 速+10 | 连击率+6% | 攻击加成+4%，攻击系数+4%，最终攻击+2% | 连击成功后，目标破甲+1层，最多2层 | 连击削甲 |</t>
  </si>
  <si>
    <t>&gt; 说明：表格中“品质附加”列按原数据列出全部加成项；“等级成长”列同时给出了三项数值，便于查阅。所有宠物的总属性点均严格符合品质预算规则（品质1=40，品质2=40，品质3=40，品质4=40）。</t>
  </si>
  <si>
    <t>序号</t>
  </si>
  <si>
    <t>坐骑名称</t>
  </si>
  <si>
    <t>权重和</t>
  </si>
  <si>
    <t>定位倾向</t>
  </si>
  <si>
    <t>均衡偏闪避</t>
  </si>
  <si>
    <t>踏云灵驹</t>
  </si>
  <si>
    <t>闪避型</t>
  </si>
  <si>
    <t>追星鹿</t>
  </si>
  <si>
    <t>御风青隼</t>
  </si>
  <si>
    <t>高闪避</t>
  </si>
  <si>
    <t>掠影豹</t>
  </si>
  <si>
    <t>幻影妖狼</t>
  </si>
  <si>
    <t>踏雪狐</t>
  </si>
  <si>
    <t>腾云瑞兽</t>
  </si>
  <si>
    <t>均衡</t>
  </si>
  <si>
    <t>穿云燕</t>
  </si>
  <si>
    <t>逐日金乌</t>
  </si>
  <si>
    <t>气血型</t>
  </si>
  <si>
    <t>玄甲龟</t>
  </si>
  <si>
    <t>高防御</t>
  </si>
  <si>
    <t>震地玄犀</t>
  </si>
  <si>
    <t>防御气血</t>
  </si>
  <si>
    <t>磐石牛</t>
  </si>
  <si>
    <t>铁壁白象</t>
  </si>
  <si>
    <t>御寒鹿</t>
  </si>
  <si>
    <t>气血均衡</t>
  </si>
  <si>
    <t>镇岳巨熊</t>
  </si>
  <si>
    <t>气血防御</t>
  </si>
  <si>
    <t>灵泉鹿</t>
  </si>
  <si>
    <t>净世白鹤</t>
  </si>
  <si>
    <t>闪避防御均衡</t>
  </si>
  <si>
    <t>幻海鲸</t>
  </si>
  <si>
    <t>踏浪灵龟</t>
  </si>
  <si>
    <t>防御闪避</t>
  </si>
  <si>
    <t>破军马</t>
  </si>
  <si>
    <t>战地猛虎</t>
  </si>
  <si>
    <t>狂血狼</t>
  </si>
  <si>
    <t>裂地棕熊</t>
  </si>
  <si>
    <t>铁甲犀牛</t>
  </si>
  <si>
    <t>幽谷青猿</t>
  </si>
  <si>
    <t>啸风狼</t>
  </si>
  <si>
    <t>撼地神牛</t>
  </si>
  <si>
    <t>幽冥驹</t>
  </si>
  <si>
    <t>镇海蛟</t>
  </si>
  <si>
    <t>烈焰狮</t>
  </si>
  <si>
    <t>焚天火鹏</t>
  </si>
  <si>
    <t>炽焰马</t>
  </si>
  <si>
    <t>熔岩巨龟</t>
  </si>
  <si>
    <t>赤焰虎</t>
  </si>
  <si>
    <t>苍雷青龙</t>
  </si>
  <si>
    <t>紫电驹</t>
  </si>
  <si>
    <t>惊雷猎豹</t>
  </si>
  <si>
    <t>灵犀角</t>
  </si>
  <si>
    <t>逐月玉兔</t>
  </si>
  <si>
    <t>编号</t>
  </si>
  <si>
    <t>苍梧青雀</t>
  </si>
  <si>
    <t>攻击型</t>
  </si>
  <si>
    <t>赤霄猊</t>
  </si>
  <si>
    <t>玄霜月鹿</t>
  </si>
  <si>
    <t>命中型</t>
  </si>
  <si>
    <t>云梦蛟</t>
  </si>
  <si>
    <t>金风白鹤</t>
  </si>
  <si>
    <t>强攻击型</t>
  </si>
  <si>
    <t>紫电骅</t>
  </si>
  <si>
    <t>寒潭玉鲤</t>
  </si>
  <si>
    <t>焚天猊</t>
  </si>
  <si>
    <t>碧落瑶鸾</t>
  </si>
  <si>
    <t>幽篁蛇</t>
  </si>
  <si>
    <t>青冥鹤</t>
  </si>
  <si>
    <t>赤羽凤</t>
  </si>
  <si>
    <t>玄冰鲤</t>
  </si>
  <si>
    <t>金铃鹿</t>
  </si>
  <si>
    <t>速度型</t>
  </si>
  <si>
    <t>墨雨鲛</t>
  </si>
  <si>
    <t>天岚隼</t>
  </si>
  <si>
    <t>月照犀</t>
  </si>
  <si>
    <t>星垂兕</t>
  </si>
  <si>
    <t>风鸣鸟</t>
  </si>
  <si>
    <t>露冷蟾</t>
  </si>
  <si>
    <t>烟横雉</t>
  </si>
  <si>
    <t>雪满犀</t>
  </si>
  <si>
    <t>松间麋</t>
  </si>
  <si>
    <t>竹里猱</t>
  </si>
  <si>
    <t>兰皋鹤</t>
  </si>
  <si>
    <t>桂魄狐</t>
  </si>
  <si>
    <t>桃夭鲤</t>
  </si>
  <si>
    <t>荷露蛇</t>
  </si>
  <si>
    <t>菊潭猿</t>
  </si>
  <si>
    <t>梅岭獾</t>
  </si>
  <si>
    <t>沧浪鸥</t>
  </si>
  <si>
    <t>弱水凫</t>
  </si>
  <si>
    <t>昆仑豹</t>
  </si>
  <si>
    <t>蓬莱蟹</t>
  </si>
  <si>
    <t>瀛洲蟾</t>
  </si>
  <si>
    <t>方壶鹿</t>
  </si>
  <si>
    <t>槐安蝶</t>
  </si>
  <si>
    <t>华胥鸾</t>
  </si>
  <si>
    <t>广寒兔</t>
  </si>
  <si>
    <t>赤城猿</t>
  </si>
  <si>
    <t>你说得对。纯数值加成是属性词条该干的事，特性的价值在于**改变战斗行为**。我重新设计全部120个特性。</t>
  </si>
  <si>
    <t># 宠物特性（60个）— 机制版</t>
  </si>
  <si>
    <t>&gt; 宠物定位：输出/异常补充 | 不做：闪避、免伤、护盾、反击、控制豁免、伤害反弹</t>
  </si>
  <si>
    <t>## 一、连击流（斗战）— 8普通 + 5核心</t>
  </si>
  <si>
    <t>### 普通特性</t>
  </si>
  <si>
    <t>| # | 名称 | 效果 | 等级 |</t>
  </si>
  <si>
    <t>|---|------|------|------|</t>
  </si>
  <si>
    <t>| 1 | 风势感知 | 连击触发时，为目标叠加1层【风势】（上限8层） | 凡 |</t>
  </si>
  <si>
    <t>| 2 | 裂甲刻印 | 连击第3段及以后，每次命中追加1层破甲（上限3层，2回合） | 凡 |</t>
  </si>
  <si>
    <t>| 3 | 连势追击 | 连击段数≥3时，最后一段伤害翻倍 | 灵 |</t>
  </si>
  <si>
    <t>| 4 | 疾风之息 | 速度每高于目标10%，连击伤害衰减减少5% | 灵 |</t>
  </si>
  <si>
    <t>| 5 | 普攻蓄势 | 普攻命中后，下次普攻倍率+20%（1回合） | 凡 |</t>
  </si>
  <si>
    <t>| 6 | 风痕侵蚀 | 连击触发时，20%概率使目标速度-5%（1回合） | 灵 |</t>
  </si>
  <si>
    <t>| 7 | 连击回能 | 每次连击判定成功能量+2；连击段数≥4时额外+3 | 凡 |</t>
  </si>
  <si>
    <t>| 8 | 削甲连击 | 连击命中同一目标3次后，目标防御-8%（2回合） | 仙 |</t>
  </si>
  <si>
    <t>### 核心特性</t>
  </si>
  <si>
    <t>| 1 | 风怒连斩 | 连击达4段时，追加1次无视防御的50%真伤攻击 | 仙 |</t>
  </si>
  <si>
    <t>| 2 | 裂甲爆破 | 目标破甲≥3层时，下次普攻消耗全部破甲，每层+15%伤害并溅射相邻 | 仙 |</t>
  </si>
  <si>
    <t>| 3 | 风势满溢 | 目标风势满层后，继续叠加转为【风痕】，每层风痕使目标受伤+5%（上限10层） | 神 |</t>
  </si>
  <si>
    <t>| 4 | 疾风骤雨 | 连击触发后，本次行动不结束，立即追加1次普攻（每回合1次） | 灵 |</t>
  </si>
  <si>
    <t>| 5 | 连击共鸣 | 本回合连击总段数≥6时，下回合普攻必定连击且连击伤害不衰减 | 神 |</t>
  </si>
  <si>
    <t>## 二、破军流（暴伤）— 8普通 + 5核心</t>
  </si>
  <si>
    <t>| 1 | 凶残本能 | 暴击后，目标获得1层【破绽】（上限3），每层免伤-3% | 凡 |</t>
  </si>
  <si>
    <t>| 2 | 破绽撕裂 | 攻击破绽目标时，暴击伤害+5%/层 | 凡 |</t>
  </si>
  <si>
    <t>| 3 | 嗜血狂暴 | 暴击击杀目标后，回复15%最大气血 | 灵 |</t>
  </si>
  <si>
    <t>| 4 | 弱点洞察 | 目标气血每低于50%，暴击率+2%（最高+10%） | 灵 |</t>
  </si>
  <si>
    <t>| 5 | 破盾之锋 | 暴击击破护盾时，对目标追加30%攻击真伤 | 灵 |</t>
  </si>
  <si>
    <t>| 6 | 暴伤积蓄 | 连续2次未暴击后，下次攻击必定暴击 | 仙 |</t>
  </si>
  <si>
    <t>| 7 | 致命一击 | 暴击时，直接削减目标当前护盾值10% | 凡 |</t>
  </si>
  <si>
    <t>| 8 | 杀意凝聚 | 暴击后能量+5；目标有破绽时额外+3 | 凡 |</t>
  </si>
  <si>
    <t>| 1 | 破绽爆发 | 消耗目标全部破绽，每层追加1段80%攻击伤害 | 仙 |</t>
  </si>
  <si>
    <t>| 2 | 天崩地裂 | 暴击溢出伤害（超出目标剩余气血）50%溅射相邻敌人（真伤） | 神 |</t>
  </si>
  <si>
    <t>| 3 | 斩灭之息 | 目标气血&lt;25%时，暴击无视50%防御 | 仙 |</t>
  </si>
  <si>
    <t>| 4 | 暴怒连锁 | 连续暴击2次后，第3次攻击暴伤+50%且必定命中 | 神 |</t>
  </si>
  <si>
    <t>| 5 | 无情破甲 | 暴击后追加1层破甲，且本次伤害无视目标10%防御 | 灵 |</t>
  </si>
  <si>
    <t>## 三、不动流（护盾克制）— 8普通 + 5核心</t>
  </si>
  <si>
    <t>| 1 | 破盾之力 | 攻击护盾目标时，本次攻击护盾削减+15% | 凡 |</t>
  </si>
  <si>
    <t>| 2 | 反伤抑制 | 攻击有反伤目标时，50%伤害无视反伤结算 | 凡 |</t>
  </si>
  <si>
    <t>| 3 | 坚壁击穿 | 对护盾目标暴击时，护盾伤害翻倍 | 灵 |</t>
  </si>
  <si>
    <t>| 4 | 碎盾重击 | 击破护盾后，目标1回合内免伤-10% | 灵 |</t>
  </si>
  <si>
    <t>| 5 | 压制治疗 | 攻击命中后，目标受治疗-15%（1回合） | 凡 |</t>
  </si>
  <si>
    <t>| 6 | 吸血剥夺 | 攻击命中后，目标吸血回复量-20%（1回合） | 凡 |</t>
  </si>
  <si>
    <t>| 7 | 重压之势 | 攻击有护盾/反伤增益的目标时，伤害独立+8% | 灵 |</t>
  </si>
  <si>
    <t>| 8 | 护盾侵蚀 | 每次命中护盾目标，目标护盾加成-5%（叠2层，2回合） | 仙 |</t>
  </si>
  <si>
    <t>| 1 | 碎盾爆裂 | 击破护盾时，对目标追加自身攻击100%的真伤 | 仙 |</t>
  </si>
  <si>
    <t>| 2 | 反噬压制 | 攻击有反伤目标时，反伤伤害的50%转化为自身气血回复 | 灵 |</t>
  </si>
  <si>
    <t>| 3 | 坚壁瓦解 | 对护盾目标伤害+30%，且每次命中使护盾值-5% | 神 |</t>
  </si>
  <si>
    <t>| 4 | 绝对压制 | 目标有护盾时，其最终伤害减免-8%（仅自身对其生效） | 仙 |</t>
  </si>
  <si>
    <t>| 5 | 破阵之锤 | 攻击护盾目标时，消耗目标当前护盾10%转化为额外真伤 | 神 |</t>
  </si>
  <si>
    <t>## 四、幻影流（闪避克制）— 8普通 + 5核心</t>
  </si>
  <si>
    <t>| 1 | 精准之眼 | 无视目标15%闪避率（命中仍≤95%） | 凡 |</t>
  </si>
  <si>
    <t>| 2 | 锁定追踪 | 攻击闪避率高于自身的目标时，必定命中（每回合1次） | 灵 |</t>
  </si>
  <si>
    <t>| 3 | 致盲辅助 | 命中后20%概率致盲目标1回合（命中-30%） | 凡 |</t>
  </si>
  <si>
    <t>| 4 | 速度压制 | 速度高于目标时，普攻追加1段30%伤害 | 凡 |</t>
  </si>
  <si>
    <t>| 5 | 破影之锋 | 攻击闪避目标时，伤害的30%转化为真伤 | 灵 |</t>
  </si>
  <si>
    <t>| 6 | 先手打击 | 本回合最先行动时，伤害+15%且必定命中 | 灵 |</t>
  </si>
  <si>
    <t>| 7 | 控制锁定 | 攻击致盲目标时，控制成功率+15% | 凡 |</t>
  </si>
  <si>
    <t>| 8 | 影蚀标记 | 命中同一目标2次后，目标速度-10%（2回合） | 仙 |</t>
  </si>
  <si>
    <t>| 1 | 破幻真瞳 | 无视目标25%闪避率，且命中后目标闪避率-5%（1回合） | 仙 |</t>
  </si>
  <si>
    <t>| 2 | 影缚锁链 | 命中后30%概率使目标下回合最后行动 | 灵 |</t>
  </si>
  <si>
    <t>| 3 | 致盲追猎 | 攻击致盲/减速目标时，伤害独立+15% | 仙 |</t>
  </si>
  <si>
    <t>| 4 | 必中之意 | 连续命中同一目标3次后，第4次必定暴击且暴伤+30% | 神 |</t>
  </si>
  <si>
    <t>| 5 | 影杀标记 | 对速度低于自身目标伤害+20%，且命中后目标无法闪避（1回合） | 神 |</t>
  </si>
  <si>
    <t>## 五、公用特性（8个）</t>
  </si>
  <si>
    <t>| 1 | 战意高涨 | 每回合行动后伤害+3%，最多叠3层，脱战重置 | 凡 |</t>
  </si>
  <si>
    <t>| 2 | 嗜血本能 | 造成伤害的10%转化为气血回复（对Boss减半） | 凡 |</t>
  </si>
  <si>
    <t>| 3 | 能量涌动 | 击杀目标后能量+10；未击杀时能量+3 | 灵 |</t>
  </si>
  <si>
    <t>| 4 | 溅射余波 | 攻击命中时，20%概率对相邻目标造成40%溅射伤害 | 灵 |</t>
  </si>
  <si>
    <t>| 5 | 乘胜追击 | 击杀目标后，立即追加1次50%攻击（不占回合） | 仙 |</t>
  </si>
  <si>
    <t>| 6 | 弱点打击 | 对气血&lt;50%目标，伤害独立+8% | 凡 |</t>
  </si>
  <si>
    <t>| 7 | 先手之利 | 首回合伤害+20%，第2回合+10%，第3回合起正常 | 灵 |</t>
  </si>
  <si>
    <t>| 8 | 蚀甲深化 | 攻击命中后，目标防御-2%（叠5层，持续2回合） | 凡 |</t>
  </si>
  <si>
    <t># 坐骑特性（60个）— 机制版</t>
  </si>
  <si>
    <t>&gt; 坐骑定位：行动/生存节奏 | 不做：攻击、暴击、连击、真伤、伤害加成、破甲、易伤</t>
  </si>
  <si>
    <t>## 一、连击流坐骑（疾风型）— 8普通 + 5核心</t>
  </si>
  <si>
    <t>| 1 | 疾风之蹄 | 速度高于攻击者时，闪避率+8% | 凡 |</t>
  </si>
  <si>
    <t>| 2 | 先手之盾 | 本回合最先行动时，获得5%最大气血护盾 | 凡 |</t>
  </si>
  <si>
    <t>| 3 | 连势护体 | 受到普攻时，30%概率免伤+15%（1回合） | 灵 |</t>
  </si>
  <si>
    <t>| 4 | 风息回复 | 回合结束时若未受伤害，回复5%最大气血 | 凡 |</t>
  </si>
  <si>
    <t>| 5 | 能量涌动 | 闪避成功后，能量+5 | 灵 |</t>
  </si>
  <si>
    <t>| 6 | 轻身避害 | 闪避成功后，下回合速度+10% | 凡 |</t>
  </si>
  <si>
    <t>| 7 | 连击余韵 | 战斗开始时获得10%最大气血护盾 | 凡 |</t>
  </si>
  <si>
    <t>| 8 | 风盾 | 护盾存在时，速度+15% | 仙 |</t>
  </si>
  <si>
    <t>| 1 | 风驰电掣 | 速度高于攻击者时，闪避率+15%且闪避后反击（50%攻击） | 仙 |</t>
  </si>
  <si>
    <t>| 2 | 连势不散 | 每回合首次受击伤害-30%，后续受击正常 | 灵 |</t>
  </si>
  <si>
    <t>| 3 | 疾风护体 | 连续闪避2次后，获得15%最大气血护盾（每回合1次） | 仙 |</t>
  </si>
  <si>
    <t>| 4 | 先手制敌 | 本回合最先行动时，免伤+20%且能量+5 | 神 |</t>
  </si>
  <si>
    <t>| 5 | 风怒回响 | 闪避成功后，下回合必定先手行动（无视速度排序，每场3次） | 神 |</t>
  </si>
  <si>
    <t>## 二、破军流坐骑（铁壁型）— 8普通 + 5核心</t>
  </si>
  <si>
    <t>| 1 | 铁壁之躯 | 受到暴击时，暴伤减免+20%（仅本次） | 凡 |</t>
  </si>
  <si>
    <t>| 2 | 暴伤抵御 | 受到暴击后，下回合暴击抵抗+15% | 凡 |</t>
  </si>
  <si>
    <t>| 3 | 控制免疫 | 每回合免疫第一次控制效果 | 灵 |</t>
  </si>
  <si>
    <t>| 4 | 坚韧体魄 | 气血&lt;50%时，每回合回复5%最大气血 | 凡 |</t>
  </si>
  <si>
    <t>| 5 | 破军之盾 | 受到暴击时，获得5%最大气血护盾（每回合1次） | 灵 |</t>
  </si>
  <si>
    <t>| 6 | 真伤抵御 | 受到真伤时，真伤伤害-30% | 凡 |</t>
  </si>
  <si>
    <t>| 7 | 杀意凝聚 | 受击后能量+3（每回合上限+6） | 凡 |</t>
  </si>
  <si>
    <t>| 8 | 霸体 | 气血&lt;30%时，免伤+15% | 仙 |</t>
  </si>
  <si>
    <t>| 1 | 破军不屈 | 气血每降低10%，免伤+2%（上限+10%） | 仙 |</t>
  </si>
  <si>
    <t>| 2 | 暴怒护体 | 受到暴击后，反弹20%暴击伤害给攻击者 | 灵 |</t>
  </si>
  <si>
    <t>| 3 | 铁壁连心 | 护盾存在时，暴击抵抗+20%且暴伤减免+15% | 仙 |</t>
  </si>
  <si>
    <t>| 4 | 杀意不灭 | 受控制后，立即获得1回合免伤+20%且控制豁免+20% | 神 |</t>
  </si>
  <si>
    <t>| 5 | 破军回响 | 单次受伤&gt;15%最大气血时，返还超出部分的40%为真伤 | 神 |</t>
  </si>
  <si>
    <t>## 三、不动流坐骑（磐石型）— 8普通 + 5核心</t>
  </si>
  <si>
    <t>| 1 | 磐石之躯 | 护盾存在时，免伤独立+8% | 凡 |</t>
  </si>
  <si>
    <t>| 2 | 荆棘之甲 | 受击时，反弹受到伤害的15%为真伤 | 凡 |</t>
  </si>
  <si>
    <t>| 3 | 厚土护盾 | 回合开始时，获得8%最大气血护盾（不叠加取最高） | 灵 |</t>
  </si>
  <si>
    <t>| 4 | 生生不息 | 护盾破碎后，回复10%最大气血 | 凡 |</t>
  </si>
  <si>
    <t>| 5 | 反伤强化 | 护盾存在时，反伤+25% | 灵 |</t>
  </si>
  <si>
    <t>| 6 | 坚韧不拔 | 单次受伤&gt;20%最大气血时，伤害-30% | 仙 |</t>
  </si>
  <si>
    <t>| 7 | 大地之息 | 受击后能量+2（每回合上限+6） | 凡 |</t>
  </si>
  <si>
    <t>| 8 | 岩壁 | 受到普攻时，反伤+20% | 凡 |</t>
  </si>
  <si>
    <t>| 1 | 不动如山 | 护盾存在时，受到伤害-20%且反伤翻倍 | 仙 |</t>
  </si>
  <si>
    <t>| 2 | 荆棘爆发 | 护盾破碎时，对全体敌人造成100%防御值的真伤 | 灵 |</t>
  </si>
  <si>
    <t>| 3 | 大地回春 | 护盾破碎后，获得【怒目】2回合：反伤+40%、嘲讽 | 仙 |</t>
  </si>
  <si>
    <t>| 4 | 磐石回响 | 受击后，攻击者速度-10%（2回合，叠2层） | 神 |</t>
  </si>
  <si>
    <t>| 5 | 山岳之怒 | 护盾存在时，队友受到伤害-10%（自身承受该伤害的50%） | 神 |</t>
  </si>
  <si>
    <t>## 四、幻影流坐骑（迷踪型）— 8普通 + 5核心</t>
  </si>
  <si>
    <t>| 1 | 幻影之躯 | 闪避成功后，下回合闪避率+10% | 凡 |</t>
  </si>
  <si>
    <t>| 2 | 疾影步 | 速度高于攻击者时，闪避率+10% | 凡 |</t>
  </si>
  <si>
    <t>| 3 | 迷踪 | 闪避成功后，攻击者命中-8%（1回合） | 灵 |</t>
  </si>
  <si>
    <t>| 4 | 定心 | 闪避成功后，控制豁免+20%（1回合） | 凡 |</t>
  </si>
  <si>
    <t>| 5 | 效果抵抗 | 闪避成功后，效果抵抗+15%（1回合） | 凡 |</t>
  </si>
  <si>
    <t>| 6 | 轻身 | 连续闪避2次后，回复5%最大气血 | 灵 |</t>
  </si>
  <si>
    <t>| 7 | 影遁 | 气血&lt;40%时，闪避率+15% | 仙 |</t>
  </si>
  <si>
    <t>| 8 | 虚化 | 闪避后，下一次受到的伤害-25% | 凡 |</t>
  </si>
  <si>
    <t>| 1 | 幻影无形 | 闪避成功后，立即反击（80%攻击，可暴击不可连击） | 仙 |</t>
  </si>
  <si>
    <t>| 2 | 影袭本能 | 闪避成功后，下次攻击必定暴击且暴伤+20% | 灵 |</t>
  </si>
  <si>
    <t>| 3 | 迷踪步 | 速度高于攻击者时，闪避率+20%且闪避后速度+10%（1回合） | 仙 |</t>
  </si>
  <si>
    <t>| 4 | 残影护体 | 连续闪避3次后，获得20%最大气血护盾（每场1次） | 神 |</t>
  </si>
  <si>
    <t>| 5 | 无影无踪 | 闪避成功后，目标下回合无法获得速度加成且命中-10% | 神 |</t>
  </si>
  <si>
    <t>| 1 | 坚韧 | 每回合首次受击伤害-20% | 凡 |</t>
  </si>
  <si>
    <t>| 2 | 回春 | 回合结束时回复3%最大气血；未受击时回复6% | 凡 |</t>
  </si>
  <si>
    <t>| 3 | 净化 | 回合开始时，30%概率净化自身1个减益 | 灵 |</t>
  </si>
  <si>
    <t>| 4 | 定心 | 受控制后，下回合控制豁免+30% | 凡 |</t>
  </si>
  <si>
    <t>| 5 | 铁壁 | 气血&gt;70%时，受到伤害-10% | 仙 |</t>
  </si>
  <si>
    <t>| 6 | 蓄势 | 战斗开始时能量+15，且首回合能量获取+50% | 灵 |</t>
  </si>
  <si>
    <t>| 7 | 厚土 | 回合开始时获得5%最大气血护盾（不叠加） | 凡 |</t>
  </si>
  <si>
    <t>| 8 | 灵息 | 受击后能量+2，闪避后能量+3（每回合上限+5） | 灵 |</t>
  </si>
  <si>
    <t>## 设计原则总结</t>
  </si>
  <si>
    <t>| 维度 | 旧版（纯数值） | 新版（机制） |</t>
  </si>
  <si>
    <t>|------|--------------|-------------|</t>
  </si>
  <si>
    <t>| 触发条件 | 无 | 有明确触发时机 |</t>
  </si>
  <si>
    <t>| 效果类型 | +4%暴击率 | 暴击后追加破绽/溅射/真伤 |</t>
  </si>
  <si>
    <t>| 流派联动 | 无 | 与风势/破绽/护盾/闪避循环联动 |</t>
  </si>
  <si>
    <t>| 取舍价值 | 无 | 5个核心间有明确取舍 |</t>
  </si>
  <si>
    <t>| 属性来源 | 特性给属性 | 属性由面板给，特性改行为 |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</si>
  <si>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</si>
  <si>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</si>
  <si>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</si>
  <si>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</si>
  <si>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</si>
  <si>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</si>
  <si>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</si>
  <si>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</si>
  <si>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</si>
  <si>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</si>
  <si>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</si>
  <si>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</si>
  <si>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</si>
  <si>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</si>
  <si>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</si>
  <si>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</si>
  <si>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</si>
  <si>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</si>
  <si>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</si>
  <si>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</si>
  <si>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</si>
  <si>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</si>
  <si>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</si>
  <si>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</si>
  <si>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</si>
  <si>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</si>
  <si>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</si>
  <si>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</si>
  <si>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</si>
  <si>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</si>
  <si>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</si>
  <si>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</si>
  <si>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</si>
  <si>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</si>
  <si>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</si>
  <si>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</si>
  <si>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</si>
  <si>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</si>
  <si>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</si>
  <si>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</si>
  <si>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</si>
  <si>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</si>
  <si>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</si>
  <si>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</si>
  <si>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</si>
  <si>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</si>
  <si>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</si>
  <si>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</si>
  <si>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</si>
  <si>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</si>
  <si>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</si>
  <si>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</si>
  <si>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</si>
  <si>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</si>
  <si>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</si>
  <si>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</si>
  <si>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</si>
  <si>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</si>
  <si>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</si>
  <si>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</si>
  <si>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</si>
  <si>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</si>
  <si>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</si>
  <si>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</si>
  <si>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</si>
  <si>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</si>
  <si>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</si>
  <si>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</si>
  <si>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</si>
  <si>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</si>
  <si>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</si>
  <si>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</si>
  <si>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</si>
  <si>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</si>
  <si>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</si>
  <si>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</si>
  <si>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</si>
  <si>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</si>
  <si>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</si>
  <si>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</si>
  <si>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</si>
  <si>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</si>
  <si>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</si>
  <si>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</si>
  <si>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</si>
  <si>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</si>
  <si>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</si>
  <si>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</si>
  <si>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</si>
  <si>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</si>
  <si>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</si>
  <si>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</si>
  <si>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</si>
  <si>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</si>
  <si>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</si>
  <si>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</si>
  <si>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</si>
  <si>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</si>
  <si>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</si>
  <si>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</si>
  <si>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</si>
  <si>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</si>
  <si>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|---|---:|---:|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</si>
  <si>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</si>
  <si>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</si>
  <si>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</si>
  <si>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</si>
  <si>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</si>
  <si>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</si>
  <si>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|---|---|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</si>
  <si>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</si>
  <si>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</si>
  <si>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</si>
  <si>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</si>
  <si>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</si>
  <si>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</si>
  <si>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</si>
  <si>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</si>
  <si>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</si>
  <si>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</si>
  <si>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</si>
  <si>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</si>
  <si>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</si>
  <si>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</si>
  <si>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</si>
  <si>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</si>
  <si>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</si>
  <si>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</si>
  <si>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</si>
  <si>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</si>
  <si>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</si>
  <si>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</si>
  <si>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</si>
  <si>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</si>
  <si>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</si>
  <si>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</si>
  <si>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</si>
  <si>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</si>
  <si>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</si>
  <si>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</si>
  <si>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</si>
  <si>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</si>
  <si>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</si>
  <si>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</si>
  <si>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</si>
  <si>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</si>
  <si>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</si>
  <si>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</si>
  <si>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</si>
  <si>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</si>
  <si>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|---|---:|---:|---:|---:|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</si>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</sst>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0" fontId="0" fillId="0" borderId="0" xfId="0" applyFill="1" applyAlignment="1">
      <alignment horizontal="center" vertical="center" wrapText="1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6"/>
  <sheetViews>
    <sheetView topLeftCell="A73" workbookViewId="0">
      <selection activeCell="B72" sqref="B67:B72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5" t="s">
        <v>2</v>
      </c>
      <c r="B2" s="5" t="s">
        <v>3</v>
      </c>
      <c r="C2" s="5" t="s">
        <v>4</v>
      </c>
      <c r="D2" s="5"/>
      <c r="E2" s="5"/>
      <c r="F2" s="5"/>
      <c r="G2" s="5"/>
      <c r="H2" s="5"/>
      <c r="Q2" t="s">
        <v>5</v>
      </c>
      <c r="R2" t="s">
        <v>6</v>
      </c>
    </row>
    <row r="3" spans="1:18">
      <c r="A3" s="5" t="s">
        <v>7</v>
      </c>
      <c r="B3" s="5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17"/>
      <c r="Q3" t="s">
        <v>15</v>
      </c>
      <c r="R3" t="s">
        <v>16</v>
      </c>
    </row>
    <row r="4" spans="1:18">
      <c r="A4" s="5"/>
      <c r="B4" s="5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17"/>
      <c r="Q4" t="s">
        <v>24</v>
      </c>
      <c r="R4" t="s">
        <v>25</v>
      </c>
    </row>
    <row r="5" spans="1:18">
      <c r="A5" s="5"/>
      <c r="B5" s="5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17"/>
    </row>
    <row r="6" spans="1:18">
      <c r="A6" s="5"/>
      <c r="B6" s="5" t="s">
        <v>33</v>
      </c>
      <c r="C6" t="s">
        <v>34</v>
      </c>
      <c r="D6" t="s">
        <v>35</v>
      </c>
      <c r="J6" s="17"/>
      <c r="Q6" t="s">
        <v>36</v>
      </c>
      <c r="R6" t="s">
        <v>37</v>
      </c>
    </row>
    <row r="7" spans="1:18">
      <c r="A7" s="5"/>
      <c r="B7" s="5"/>
      <c r="J7" s="17"/>
      <c r="Q7" t="s">
        <v>38</v>
      </c>
      <c r="R7" t="s">
        <v>39</v>
      </c>
    </row>
    <row r="8" spans="1:18">
      <c r="A8" s="5" t="s">
        <v>40</v>
      </c>
      <c r="B8" s="5" t="s">
        <v>3</v>
      </c>
      <c r="C8" s="5" t="s">
        <v>4</v>
      </c>
      <c r="D8" s="5"/>
      <c r="E8" s="5"/>
      <c r="F8" s="5"/>
      <c r="G8" s="5"/>
      <c r="H8" s="5"/>
      <c r="J8" s="17"/>
      <c r="Q8" t="s">
        <v>41</v>
      </c>
      <c r="R8" t="s">
        <v>42</v>
      </c>
    </row>
    <row r="9" spans="1:18">
      <c r="A9" s="5" t="s">
        <v>43</v>
      </c>
      <c r="B9" s="5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17"/>
      <c r="Q9" t="s">
        <v>49</v>
      </c>
      <c r="R9" t="s">
        <v>50</v>
      </c>
    </row>
    <row r="10" spans="1:18">
      <c r="A10" s="5"/>
      <c r="B10" s="5" t="s">
        <v>17</v>
      </c>
      <c r="C10" t="s">
        <v>51</v>
      </c>
      <c r="D10" t="s">
        <v>52</v>
      </c>
      <c r="E10" t="s">
        <v>53</v>
      </c>
      <c r="J10" s="17"/>
      <c r="O10" s="21"/>
    </row>
    <row r="11" spans="1:18">
      <c r="A11" s="5"/>
      <c r="B11" s="5" t="s">
        <v>26</v>
      </c>
      <c r="C11" t="s">
        <v>54</v>
      </c>
      <c r="F11" t="s">
        <v>55</v>
      </c>
      <c r="G11" t="s">
        <v>56</v>
      </c>
      <c r="H11" t="s">
        <v>57</v>
      </c>
      <c r="J11" s="17"/>
      <c r="O11" s="21"/>
      <c r="Q11" t="s">
        <v>58</v>
      </c>
      <c r="R11" t="s">
        <v>59</v>
      </c>
    </row>
    <row r="12" spans="1:18">
      <c r="A12" s="5"/>
      <c r="B12" s="5" t="s">
        <v>33</v>
      </c>
      <c r="C12" t="s">
        <v>60</v>
      </c>
      <c r="J12" s="17"/>
      <c r="O12" s="21"/>
      <c r="Q12" t="s">
        <v>61</v>
      </c>
      <c r="R12" t="s">
        <v>62</v>
      </c>
    </row>
    <row r="13" spans="1:18">
      <c r="A13" s="5"/>
      <c r="B13" s="5"/>
      <c r="J13" s="17"/>
      <c r="O13" s="21"/>
    </row>
    <row r="14" spans="1:18">
      <c r="A14" s="5"/>
      <c r="B14" s="5"/>
      <c r="J14" s="17"/>
      <c r="O14" s="21"/>
      <c r="Q14" t="s">
        <v>63</v>
      </c>
      <c r="R14" t="s">
        <v>64</v>
      </c>
    </row>
    <row r="15" spans="1:18">
      <c r="A15" s="5" t="s">
        <v>65</v>
      </c>
      <c r="B15" s="5" t="s">
        <v>3</v>
      </c>
      <c r="C15" s="5" t="s">
        <v>4</v>
      </c>
      <c r="D15" s="5"/>
      <c r="E15" s="5"/>
      <c r="F15" s="5"/>
      <c r="G15" s="5"/>
      <c r="H15" s="5"/>
      <c r="J15" s="17"/>
      <c r="O15" s="21"/>
    </row>
    <row r="16" spans="1:18">
      <c r="A16" s="5" t="s">
        <v>66</v>
      </c>
      <c r="B16" s="5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17"/>
      <c r="Q16" t="s">
        <v>72</v>
      </c>
      <c r="R16" t="s">
        <v>73</v>
      </c>
    </row>
    <row r="17" spans="1:18">
      <c r="A17" s="5"/>
      <c r="B17" s="5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17" t="s">
        <v>81</v>
      </c>
      <c r="K17" t="s">
        <v>82</v>
      </c>
      <c r="Q17" t="s">
        <v>83</v>
      </c>
      <c r="R17" t="s">
        <v>84</v>
      </c>
    </row>
    <row r="18" spans="1:18">
      <c r="A18" s="5"/>
      <c r="B18" s="5" t="s">
        <v>26</v>
      </c>
      <c r="C18" t="s">
        <v>85</v>
      </c>
      <c r="J18" s="17"/>
      <c r="L18" s="22"/>
      <c r="M18" s="22"/>
    </row>
    <row r="19" spans="1:18">
      <c r="A19" s="5"/>
      <c r="B19" s="5" t="s">
        <v>33</v>
      </c>
      <c r="C19" t="s">
        <v>86</v>
      </c>
      <c r="J19" s="17"/>
      <c r="Q19" t="s">
        <v>87</v>
      </c>
      <c r="R19" t="s">
        <v>88</v>
      </c>
    </row>
    <row r="20" spans="1:18">
      <c r="A20" s="5"/>
      <c r="B20" s="5"/>
      <c r="J20" s="17"/>
      <c r="Q20" t="s">
        <v>89</v>
      </c>
      <c r="R20" t="s">
        <v>90</v>
      </c>
    </row>
    <row r="21" spans="1:18">
      <c r="A21" s="5" t="s">
        <v>91</v>
      </c>
      <c r="B21" s="5" t="s">
        <v>3</v>
      </c>
      <c r="C21" s="5" t="s">
        <v>4</v>
      </c>
      <c r="D21" s="5"/>
      <c r="E21" s="5"/>
      <c r="F21" s="5"/>
      <c r="G21" s="5"/>
      <c r="H21" s="5"/>
      <c r="J21" s="17"/>
    </row>
    <row r="22" spans="1:18">
      <c r="A22" s="5" t="s">
        <v>92</v>
      </c>
      <c r="B22" s="5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17"/>
      <c r="Q22" t="s">
        <v>99</v>
      </c>
      <c r="R22" t="s">
        <v>100</v>
      </c>
    </row>
    <row r="23" spans="1:18">
      <c r="A23" s="5"/>
      <c r="B23" s="5" t="s">
        <v>17</v>
      </c>
      <c r="C23" t="s">
        <v>101</v>
      </c>
      <c r="D23" t="s">
        <v>102</v>
      </c>
      <c r="E23" t="s">
        <v>103</v>
      </c>
      <c r="F23" t="s">
        <v>104</v>
      </c>
      <c r="J23" s="17"/>
      <c r="Q23" t="s">
        <v>105</v>
      </c>
      <c r="R23" t="s">
        <v>106</v>
      </c>
    </row>
    <row r="24" spans="1:18">
      <c r="A24" s="5"/>
      <c r="B24" s="5"/>
      <c r="J24" s="17"/>
    </row>
    <row r="25" spans="1:18">
      <c r="A25" s="5" t="s">
        <v>107</v>
      </c>
      <c r="B25" s="5" t="s">
        <v>3</v>
      </c>
      <c r="C25" t="s">
        <v>4</v>
      </c>
      <c r="J25" s="17"/>
    </row>
    <row r="26" spans="1:18">
      <c r="A26" s="5" t="s">
        <v>108</v>
      </c>
      <c r="B26" s="5" t="s">
        <v>8</v>
      </c>
      <c r="C26" t="s">
        <v>47</v>
      </c>
      <c r="D26" t="s">
        <v>109</v>
      </c>
      <c r="E26" t="s">
        <v>110</v>
      </c>
      <c r="J26" s="17"/>
    </row>
    <row r="27" spans="1:18">
      <c r="A27" s="5"/>
      <c r="B27" s="5" t="s">
        <v>17</v>
      </c>
      <c r="C27" t="s">
        <v>111</v>
      </c>
      <c r="D27" t="s">
        <v>112</v>
      </c>
      <c r="E27" t="s">
        <v>113</v>
      </c>
      <c r="F27" t="s">
        <v>114</v>
      </c>
      <c r="J27" s="17"/>
    </row>
    <row r="28" spans="1:18">
      <c r="A28" s="5"/>
      <c r="B28" s="5"/>
      <c r="C28" s="5"/>
      <c r="D28" s="5"/>
      <c r="E28" s="5"/>
      <c r="F28" s="5"/>
      <c r="G28" s="5"/>
      <c r="H28" s="5"/>
      <c r="J28" s="17"/>
    </row>
    <row r="29" spans="1:18">
      <c r="A29" s="5"/>
      <c r="B29" s="5"/>
      <c r="J29" s="17"/>
    </row>
    <row r="30" spans="1:18">
      <c r="A30" s="5"/>
      <c r="B30" s="5"/>
      <c r="J30" s="17"/>
    </row>
    <row r="31" spans="1:18">
      <c r="A31" s="5" t="s">
        <v>115</v>
      </c>
      <c r="B31" s="5" t="s">
        <v>3</v>
      </c>
      <c r="C31" s="5" t="s">
        <v>4</v>
      </c>
      <c r="D31" s="5"/>
      <c r="E31" s="5"/>
      <c r="F31" s="5"/>
      <c r="G31" s="5"/>
      <c r="H31" s="5"/>
      <c r="J31" s="17"/>
    </row>
    <row r="32" spans="1:18">
      <c r="A32" s="5" t="s">
        <v>116</v>
      </c>
      <c r="B32" s="5" t="s">
        <v>8</v>
      </c>
      <c r="C32" t="s">
        <v>117</v>
      </c>
      <c r="D32" t="s">
        <v>118</v>
      </c>
      <c r="E32" t="s">
        <v>119</v>
      </c>
      <c r="F32" t="s">
        <v>120</v>
      </c>
      <c r="J32" s="17"/>
    </row>
    <row r="33" spans="1:23">
      <c r="A33" s="5"/>
      <c r="B33" s="5"/>
      <c r="C33" t="s">
        <v>121</v>
      </c>
      <c r="D33" t="s">
        <v>122</v>
      </c>
      <c r="E33" t="s">
        <v>123</v>
      </c>
      <c r="F33" t="s">
        <v>124</v>
      </c>
      <c r="J33" s="17"/>
    </row>
    <row r="34" spans="1:23">
      <c r="A34" s="5"/>
      <c r="B34" s="5"/>
      <c r="C34" t="s">
        <v>125</v>
      </c>
      <c r="D34" t="s">
        <v>126</v>
      </c>
      <c r="J34" s="17"/>
    </row>
    <row r="35" spans="1:23">
      <c r="A35" s="5"/>
      <c r="B35" s="5"/>
      <c r="J35" s="17"/>
      <c r="N35" s="17"/>
      <c r="W35" s="17"/>
    </row>
    <row r="36" spans="1:23">
      <c r="J36" s="17"/>
      <c r="N36" s="17"/>
      <c r="W36" s="17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17"/>
      <c r="O37" s="17"/>
      <c r="W37" s="17"/>
    </row>
    <row r="38" spans="1:23">
      <c r="A38" t="s">
        <v>9</v>
      </c>
      <c r="B38" t="s">
        <v>133</v>
      </c>
      <c r="C38" t="s">
        <v>134</v>
      </c>
      <c r="D38">
        <v>0.17</v>
      </c>
      <c r="L38" s="17"/>
      <c r="O38" s="17"/>
      <c r="W38" s="17"/>
    </row>
    <row r="39" spans="1:23">
      <c r="A39" t="s">
        <v>10</v>
      </c>
      <c r="B39" t="s">
        <v>133</v>
      </c>
      <c r="C39" t="s">
        <v>135</v>
      </c>
      <c r="D39">
        <v>1</v>
      </c>
      <c r="L39" s="17"/>
      <c r="O39" s="17"/>
      <c r="W39" s="17"/>
    </row>
    <row r="40" spans="1:23">
      <c r="A40" t="s">
        <v>11</v>
      </c>
      <c r="B40" t="s">
        <v>133</v>
      </c>
      <c r="C40" t="s">
        <v>136</v>
      </c>
      <c r="D40">
        <v>1</v>
      </c>
      <c r="L40" s="17"/>
      <c r="O40" s="17"/>
      <c r="W40" s="17"/>
    </row>
    <row r="41" spans="1:23">
      <c r="A41" t="s">
        <v>12</v>
      </c>
      <c r="B41" t="s">
        <v>133</v>
      </c>
      <c r="C41" t="s">
        <v>137</v>
      </c>
      <c r="D41">
        <v>1</v>
      </c>
      <c r="L41" s="17"/>
      <c r="O41" s="17"/>
      <c r="W41" s="17"/>
    </row>
    <row r="42" spans="1:23">
      <c r="A42" t="s">
        <v>13</v>
      </c>
      <c r="B42" t="s">
        <v>133</v>
      </c>
      <c r="C42" t="s">
        <v>138</v>
      </c>
      <c r="D42">
        <v>1</v>
      </c>
      <c r="L42" s="17"/>
      <c r="O42" s="17"/>
      <c r="W42" s="17"/>
    </row>
    <row r="43" spans="1:23">
      <c r="A43" t="s">
        <v>14</v>
      </c>
      <c r="B43" t="s">
        <v>133</v>
      </c>
      <c r="C43" t="s">
        <v>139</v>
      </c>
      <c r="D43">
        <v>1</v>
      </c>
      <c r="O43" s="17"/>
      <c r="W43" s="17"/>
    </row>
    <row r="44" spans="1:23">
      <c r="A44" t="s">
        <v>18</v>
      </c>
      <c r="B44" t="s">
        <v>140</v>
      </c>
      <c r="C44" t="s">
        <v>141</v>
      </c>
      <c r="D44">
        <v>1.5</v>
      </c>
      <c r="E44" s="16">
        <v>1</v>
      </c>
      <c r="L44" t="s">
        <v>142</v>
      </c>
      <c r="O44" s="17"/>
      <c r="W44" s="17"/>
    </row>
    <row r="45" spans="1:23">
      <c r="A45" t="s">
        <v>19</v>
      </c>
      <c r="B45" t="s">
        <v>140</v>
      </c>
      <c r="C45" t="s">
        <v>143</v>
      </c>
      <c r="D45">
        <v>3</v>
      </c>
      <c r="E45" s="16">
        <v>1</v>
      </c>
      <c r="L45" t="s">
        <v>142</v>
      </c>
      <c r="O45" s="17"/>
      <c r="W45" s="17"/>
    </row>
    <row r="46" spans="1:23">
      <c r="A46" t="s">
        <v>20</v>
      </c>
      <c r="B46" t="s">
        <v>140</v>
      </c>
      <c r="C46" t="s">
        <v>144</v>
      </c>
      <c r="D46">
        <v>3</v>
      </c>
      <c r="E46" s="16">
        <v>1</v>
      </c>
      <c r="L46" t="s">
        <v>142</v>
      </c>
      <c r="O46" s="17"/>
      <c r="W46" s="17"/>
    </row>
    <row r="47" spans="1:23">
      <c r="A47" t="s">
        <v>21</v>
      </c>
      <c r="B47" t="s">
        <v>140</v>
      </c>
      <c r="C47" t="s">
        <v>145</v>
      </c>
      <c r="D47">
        <v>3</v>
      </c>
      <c r="E47" s="16">
        <v>1</v>
      </c>
      <c r="L47" t="s">
        <v>142</v>
      </c>
      <c r="O47" s="17"/>
      <c r="W47" s="17"/>
    </row>
    <row r="48" spans="1:23">
      <c r="A48" t="s">
        <v>22</v>
      </c>
      <c r="B48" t="s">
        <v>140</v>
      </c>
      <c r="C48" t="s">
        <v>146</v>
      </c>
      <c r="D48">
        <v>3</v>
      </c>
      <c r="E48" s="16">
        <v>1</v>
      </c>
      <c r="L48" t="s">
        <v>142</v>
      </c>
      <c r="O48" s="17"/>
      <c r="W48" s="17"/>
    </row>
    <row r="49" spans="1:23">
      <c r="A49" t="s">
        <v>23</v>
      </c>
      <c r="B49" t="s">
        <v>140</v>
      </c>
      <c r="C49" t="s">
        <v>147</v>
      </c>
      <c r="D49">
        <v>3</v>
      </c>
      <c r="E49" s="16">
        <v>1</v>
      </c>
      <c r="L49" t="s">
        <v>142</v>
      </c>
      <c r="O49" s="17"/>
      <c r="W49" s="17"/>
    </row>
    <row r="50" spans="1:23">
      <c r="A50" t="s">
        <v>27</v>
      </c>
      <c r="B50" t="s">
        <v>140</v>
      </c>
      <c r="C50" t="s">
        <v>148</v>
      </c>
      <c r="D50">
        <v>2.25</v>
      </c>
      <c r="E50" s="16">
        <v>0.6</v>
      </c>
      <c r="L50" t="s">
        <v>149</v>
      </c>
      <c r="O50" s="17"/>
      <c r="W50" s="17"/>
    </row>
    <row r="51" spans="1:23">
      <c r="A51" t="s">
        <v>28</v>
      </c>
      <c r="B51" t="s">
        <v>140</v>
      </c>
      <c r="C51" t="s">
        <v>150</v>
      </c>
      <c r="D51">
        <v>4.5</v>
      </c>
      <c r="E51" s="16">
        <v>0.6</v>
      </c>
      <c r="L51" t="s">
        <v>149</v>
      </c>
      <c r="O51" s="17"/>
      <c r="W51" s="17"/>
    </row>
    <row r="52" spans="1:23">
      <c r="A52" t="s">
        <v>29</v>
      </c>
      <c r="B52" t="s">
        <v>140</v>
      </c>
      <c r="C52" t="s">
        <v>151</v>
      </c>
      <c r="D52">
        <v>4.5</v>
      </c>
      <c r="E52" s="16">
        <v>0.6</v>
      </c>
      <c r="L52" t="s">
        <v>149</v>
      </c>
      <c r="O52" s="17"/>
      <c r="W52" s="17"/>
    </row>
    <row r="53" spans="1:23">
      <c r="A53" t="s">
        <v>30</v>
      </c>
      <c r="B53" t="s">
        <v>140</v>
      </c>
      <c r="C53" t="s">
        <v>152</v>
      </c>
      <c r="D53">
        <v>4.5</v>
      </c>
      <c r="E53" s="16">
        <v>0.6</v>
      </c>
      <c r="L53" t="s">
        <v>149</v>
      </c>
      <c r="O53" s="17"/>
      <c r="W53" s="17"/>
    </row>
    <row r="54" spans="1:23">
      <c r="A54" t="s">
        <v>31</v>
      </c>
      <c r="B54" t="s">
        <v>140</v>
      </c>
      <c r="C54" t="s">
        <v>153</v>
      </c>
      <c r="D54">
        <v>4.5</v>
      </c>
      <c r="E54" s="16">
        <v>0.6</v>
      </c>
      <c r="L54" t="s">
        <v>149</v>
      </c>
      <c r="O54" s="17"/>
      <c r="W54" s="17"/>
    </row>
    <row r="55" spans="1:23">
      <c r="A55" t="s">
        <v>32</v>
      </c>
      <c r="B55" t="s">
        <v>140</v>
      </c>
      <c r="C55" t="s">
        <v>154</v>
      </c>
      <c r="D55">
        <v>4.5</v>
      </c>
      <c r="E55" s="16">
        <v>0.6</v>
      </c>
      <c r="L55" t="s">
        <v>149</v>
      </c>
      <c r="O55" s="17"/>
      <c r="W55" s="17"/>
    </row>
    <row r="56" spans="1:23">
      <c r="A56" t="s">
        <v>34</v>
      </c>
      <c r="B56" t="s">
        <v>140</v>
      </c>
      <c r="C56" t="s">
        <v>155</v>
      </c>
      <c r="D56">
        <v>6</v>
      </c>
      <c r="E56" s="16">
        <v>0.6</v>
      </c>
      <c r="L56" t="s">
        <v>156</v>
      </c>
      <c r="O56" s="17"/>
    </row>
    <row r="57" spans="1:23">
      <c r="A57" t="s">
        <v>35</v>
      </c>
      <c r="B57" t="s">
        <v>140</v>
      </c>
      <c r="C57" t="s">
        <v>157</v>
      </c>
      <c r="D57">
        <v>6</v>
      </c>
      <c r="E57" s="16">
        <v>0.6</v>
      </c>
      <c r="L57" t="s">
        <v>156</v>
      </c>
      <c r="O57" s="17"/>
      <c r="W57" s="17"/>
    </row>
    <row r="58" spans="1:23">
      <c r="A58" t="s">
        <v>44</v>
      </c>
      <c r="B58" t="s">
        <v>140</v>
      </c>
      <c r="C58" t="s">
        <v>158</v>
      </c>
      <c r="D58">
        <v>2</v>
      </c>
      <c r="E58" s="16">
        <v>1</v>
      </c>
      <c r="F58" t="s">
        <v>159</v>
      </c>
      <c r="G58" t="s">
        <v>160</v>
      </c>
      <c r="H58" t="s">
        <v>161</v>
      </c>
      <c r="I58" t="s">
        <v>162</v>
      </c>
      <c r="L58" s="17" t="s">
        <v>163</v>
      </c>
      <c r="M58" t="s">
        <v>164</v>
      </c>
      <c r="O58" s="17"/>
      <c r="W58" s="17"/>
    </row>
    <row r="59" spans="1:23">
      <c r="A59" t="s">
        <v>45</v>
      </c>
      <c r="B59" t="s">
        <v>140</v>
      </c>
      <c r="C59" t="s">
        <v>165</v>
      </c>
      <c r="D59">
        <v>1</v>
      </c>
      <c r="E59" s="16">
        <v>3</v>
      </c>
      <c r="F59" t="s">
        <v>159</v>
      </c>
      <c r="G59" t="s">
        <v>160</v>
      </c>
      <c r="H59" t="s">
        <v>161</v>
      </c>
      <c r="J59" t="s">
        <v>166</v>
      </c>
      <c r="L59" s="17"/>
      <c r="O59" s="17"/>
      <c r="W59" s="17"/>
    </row>
    <row r="60" spans="1:23">
      <c r="A60" t="s">
        <v>46</v>
      </c>
      <c r="B60" t="s">
        <v>140</v>
      </c>
      <c r="C60" t="s">
        <v>167</v>
      </c>
      <c r="D60">
        <v>1.5</v>
      </c>
      <c r="E60" s="16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17"/>
      <c r="O60" s="17"/>
      <c r="W60" s="17"/>
    </row>
    <row r="61" spans="1:23">
      <c r="A61" t="s">
        <v>55</v>
      </c>
      <c r="B61" t="s">
        <v>140</v>
      </c>
      <c r="C61" t="s">
        <v>171</v>
      </c>
      <c r="D61">
        <v>2</v>
      </c>
      <c r="E61" s="16">
        <v>1.5</v>
      </c>
      <c r="L61" s="17"/>
      <c r="O61" s="17"/>
      <c r="W61" s="17"/>
    </row>
    <row r="62" spans="1:23">
      <c r="A62" t="s">
        <v>172</v>
      </c>
      <c r="B62" t="s">
        <v>140</v>
      </c>
      <c r="C62" t="s">
        <v>173</v>
      </c>
      <c r="D62">
        <v>2</v>
      </c>
      <c r="E62" s="16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17"/>
      <c r="O62" s="17"/>
      <c r="P62" s="17"/>
      <c r="Q62" s="17"/>
      <c r="R62" s="17"/>
      <c r="S62" s="17"/>
      <c r="T62" s="17"/>
      <c r="U62" s="17"/>
      <c r="V62" s="17"/>
      <c r="W62" s="17"/>
    </row>
    <row r="63" spans="1:23">
      <c r="A63" t="s">
        <v>56</v>
      </c>
      <c r="B63" t="s">
        <v>140</v>
      </c>
      <c r="C63" t="s">
        <v>174</v>
      </c>
      <c r="D63">
        <v>1.8</v>
      </c>
      <c r="E63" s="16">
        <v>1.5</v>
      </c>
      <c r="J63" t="s">
        <v>166</v>
      </c>
      <c r="L63" s="17"/>
      <c r="O63" s="17"/>
      <c r="P63" s="17"/>
      <c r="Q63" s="17"/>
      <c r="R63" s="17"/>
      <c r="S63" s="17"/>
      <c r="T63" s="17"/>
      <c r="U63" s="17"/>
      <c r="V63" s="17"/>
      <c r="W63" s="17"/>
    </row>
    <row r="64" spans="1:23">
      <c r="A64" t="s">
        <v>48</v>
      </c>
      <c r="B64" t="s">
        <v>140</v>
      </c>
      <c r="C64" t="s">
        <v>175</v>
      </c>
      <c r="D64">
        <v>1.2</v>
      </c>
      <c r="E64" s="16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17"/>
      <c r="O64" s="17"/>
      <c r="P64" s="17"/>
      <c r="Q64" s="17"/>
      <c r="R64" s="17"/>
      <c r="S64" s="17"/>
      <c r="T64" s="17"/>
      <c r="U64" s="17"/>
      <c r="V64" s="17"/>
      <c r="W64" s="17"/>
    </row>
    <row r="65" spans="1:23">
      <c r="A65" t="s">
        <v>176</v>
      </c>
      <c r="B65" t="s">
        <v>140</v>
      </c>
      <c r="C65" t="s">
        <v>177</v>
      </c>
      <c r="D65">
        <v>1</v>
      </c>
      <c r="E65" s="16">
        <v>1.5</v>
      </c>
      <c r="L65" s="17"/>
      <c r="O65" s="17"/>
      <c r="P65" s="17"/>
      <c r="Q65" s="17"/>
      <c r="R65" s="17"/>
      <c r="S65" s="17"/>
      <c r="T65" s="17"/>
      <c r="U65" s="17"/>
      <c r="V65" s="17"/>
      <c r="W65" s="17"/>
    </row>
    <row r="66" spans="1:23">
      <c r="A66" t="s">
        <v>51</v>
      </c>
      <c r="B66" t="s">
        <v>140</v>
      </c>
      <c r="C66" t="s">
        <v>178</v>
      </c>
      <c r="D66">
        <v>4</v>
      </c>
      <c r="E66" s="16">
        <v>1.5</v>
      </c>
      <c r="L66" s="17"/>
      <c r="O66" s="17"/>
      <c r="P66" s="17"/>
      <c r="Q66" s="17"/>
      <c r="R66" s="17"/>
      <c r="S66" s="17"/>
      <c r="T66" s="17"/>
      <c r="U66" s="17"/>
      <c r="V66" s="17"/>
      <c r="W66" s="17"/>
    </row>
    <row r="67" spans="1:23">
      <c r="A67" t="s">
        <v>52</v>
      </c>
      <c r="B67" t="s">
        <v>140</v>
      </c>
      <c r="C67" t="s">
        <v>179</v>
      </c>
      <c r="D67">
        <v>2</v>
      </c>
      <c r="E67" s="16">
        <v>1</v>
      </c>
      <c r="J67" t="s">
        <v>180</v>
      </c>
      <c r="L67" s="17"/>
      <c r="P67" s="17"/>
      <c r="Q67" s="17"/>
      <c r="R67" s="17"/>
      <c r="S67" s="17"/>
      <c r="T67" s="17"/>
      <c r="U67" s="17"/>
      <c r="V67" s="17"/>
      <c r="W67" s="17"/>
    </row>
    <row r="68" spans="1:23">
      <c r="A68" t="s">
        <v>53</v>
      </c>
      <c r="B68" t="s">
        <v>140</v>
      </c>
      <c r="C68" t="s">
        <v>181</v>
      </c>
      <c r="D68">
        <v>2.5</v>
      </c>
      <c r="E68" s="16">
        <v>0.5</v>
      </c>
      <c r="P68" s="17"/>
      <c r="Q68" s="17"/>
      <c r="R68" s="17"/>
      <c r="S68" s="17"/>
      <c r="T68" s="17"/>
      <c r="U68" s="17"/>
      <c r="V68" s="17"/>
      <c r="W68" s="17"/>
    </row>
    <row r="69" spans="1:23">
      <c r="A69" t="s">
        <v>54</v>
      </c>
      <c r="B69" t="s">
        <v>140</v>
      </c>
      <c r="C69" t="s">
        <v>182</v>
      </c>
      <c r="D69">
        <v>6</v>
      </c>
      <c r="E69" s="16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16">
        <v>1.5</v>
      </c>
      <c r="P70" s="5"/>
      <c r="Q70" s="5"/>
      <c r="R70" s="5"/>
      <c r="S70" s="5"/>
      <c r="T70" s="5"/>
      <c r="U70" s="5"/>
    </row>
    <row r="71" spans="1:23">
      <c r="A71" t="s">
        <v>67</v>
      </c>
      <c r="B71" t="s">
        <v>133</v>
      </c>
      <c r="C71" t="s">
        <v>184</v>
      </c>
      <c r="D71">
        <v>0.2</v>
      </c>
      <c r="P71" s="23"/>
      <c r="Q71" s="23"/>
      <c r="R71" s="23"/>
      <c r="S71" s="23"/>
      <c r="T71" s="23"/>
    </row>
    <row r="72" spans="1:23">
      <c r="A72" t="s">
        <v>68</v>
      </c>
      <c r="B72" t="s">
        <v>140</v>
      </c>
      <c r="C72" t="s">
        <v>185</v>
      </c>
      <c r="D72">
        <v>4</v>
      </c>
      <c r="E72" s="16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16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16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16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16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16">
        <v>0.8</v>
      </c>
      <c r="F78" t="s">
        <v>196</v>
      </c>
      <c r="G78" t="s">
        <v>197</v>
      </c>
      <c r="H78" t="s">
        <v>198</v>
      </c>
      <c r="I78" t="s">
        <v>199</v>
      </c>
      <c r="P78" s="5"/>
      <c r="Q78" s="5"/>
      <c r="R78" s="5"/>
      <c r="S78" s="5"/>
      <c r="T78" s="5"/>
      <c r="U78" s="5"/>
    </row>
    <row r="79" spans="1:23">
      <c r="A79" t="s">
        <v>75</v>
      </c>
      <c r="B79" t="s">
        <v>140</v>
      </c>
      <c r="C79" t="s">
        <v>200</v>
      </c>
      <c r="D79">
        <v>3</v>
      </c>
      <c r="E79" s="16">
        <v>0.8</v>
      </c>
      <c r="F79" t="s">
        <v>201</v>
      </c>
      <c r="G79" t="s">
        <v>202</v>
      </c>
      <c r="H79" t="s">
        <v>203</v>
      </c>
      <c r="I79" t="s">
        <v>204</v>
      </c>
      <c r="P79" s="23"/>
      <c r="Q79" s="23"/>
      <c r="R79" s="23"/>
      <c r="S79" s="23"/>
      <c r="T79" s="23"/>
    </row>
    <row r="80" spans="1:23">
      <c r="A80" t="s">
        <v>76</v>
      </c>
      <c r="B80" t="s">
        <v>140</v>
      </c>
      <c r="C80" t="s">
        <v>205</v>
      </c>
      <c r="D80">
        <v>1.5</v>
      </c>
      <c r="E80" s="16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16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16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16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16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16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16">
        <v>0.5</v>
      </c>
      <c r="F86" t="s">
        <v>201</v>
      </c>
      <c r="G86" t="s">
        <v>202</v>
      </c>
      <c r="H86" t="s">
        <v>203</v>
      </c>
      <c r="I86" t="s">
        <v>206</v>
      </c>
      <c r="P86" s="5"/>
      <c r="Q86" s="5"/>
      <c r="R86" s="5"/>
      <c r="S86" s="5"/>
      <c r="T86" s="5"/>
      <c r="U86" s="5"/>
    </row>
    <row r="87" spans="1:21">
      <c r="A87" t="s">
        <v>82</v>
      </c>
      <c r="B87" t="s">
        <v>140</v>
      </c>
      <c r="C87" t="s">
        <v>220</v>
      </c>
      <c r="D87">
        <v>1</v>
      </c>
      <c r="E87" s="16">
        <v>0.5</v>
      </c>
      <c r="F87" t="s">
        <v>201</v>
      </c>
      <c r="G87" t="s">
        <v>202</v>
      </c>
      <c r="H87" t="s">
        <v>203</v>
      </c>
      <c r="I87" t="s">
        <v>206</v>
      </c>
      <c r="P87" s="23"/>
      <c r="Q87" s="23"/>
      <c r="R87" s="23"/>
      <c r="S87" s="23"/>
      <c r="T87" s="23"/>
    </row>
    <row r="88" spans="1:21">
      <c r="A88" t="s">
        <v>221</v>
      </c>
      <c r="B88" t="s">
        <v>140</v>
      </c>
      <c r="C88" t="s">
        <v>222</v>
      </c>
      <c r="D88">
        <v>2</v>
      </c>
      <c r="E88" s="16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16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16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16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16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5"/>
      <c r="Q93" s="5"/>
      <c r="R93" s="5"/>
      <c r="S93" s="5"/>
      <c r="T93" s="5"/>
      <c r="U93" s="5"/>
    </row>
    <row r="94" spans="1:21">
      <c r="A94" t="s">
        <v>94</v>
      </c>
      <c r="B94" t="s">
        <v>140</v>
      </c>
      <c r="C94" t="s">
        <v>249</v>
      </c>
      <c r="D94">
        <v>3</v>
      </c>
      <c r="E94" s="16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23"/>
      <c r="Q94" s="23"/>
      <c r="R94" s="23"/>
      <c r="S94" s="23"/>
      <c r="T94" s="23"/>
    </row>
    <row r="95" spans="1:21">
      <c r="A95" t="s">
        <v>101</v>
      </c>
      <c r="B95" t="s">
        <v>140</v>
      </c>
      <c r="C95" t="s">
        <v>252</v>
      </c>
      <c r="D95">
        <v>1</v>
      </c>
      <c r="E95" s="16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16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16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16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5"/>
      <c r="Q98" s="5"/>
      <c r="R98" s="5"/>
      <c r="S98" s="5"/>
      <c r="T98" s="5"/>
      <c r="U98" s="5"/>
    </row>
    <row r="99" spans="1:21">
      <c r="A99" t="s">
        <v>268</v>
      </c>
      <c r="B99" t="s">
        <v>140</v>
      </c>
      <c r="C99" t="s">
        <v>269</v>
      </c>
      <c r="D99">
        <v>0.6</v>
      </c>
      <c r="E99" s="16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23"/>
      <c r="Q99" s="23"/>
      <c r="R99" s="23"/>
      <c r="S99" s="23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16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16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16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9" spans="1:21">
      <c r="A109" t="s">
        <v>274</v>
      </c>
      <c r="B109" t="s">
        <v>140</v>
      </c>
      <c r="C109" t="s">
        <v>275</v>
      </c>
    </row>
    <row r="110" spans="1:21">
      <c r="A110" t="s">
        <v>276</v>
      </c>
      <c r="B110" t="s">
        <v>140</v>
      </c>
      <c r="C110" t="s">
        <v>277</v>
      </c>
    </row>
    <row r="117" spans="1:1">
      <c r="A117" t="s">
        <v>278</v>
      </c>
    </row>
    <row r="118" spans="1:1">
      <c r="A118" t="s">
        <v>279</v>
      </c>
    </row>
    <row r="119" spans="1:1">
      <c r="A119" t="s">
        <v>280</v>
      </c>
    </row>
    <row r="120" spans="1:1">
      <c r="A120" t="s">
        <v>281</v>
      </c>
    </row>
    <row r="121" spans="1:1">
      <c r="A121" t="s">
        <v>282</v>
      </c>
    </row>
    <row r="122" spans="1:1">
      <c r="A122" t="s">
        <v>283</v>
      </c>
    </row>
    <row r="123" spans="1:1">
      <c r="A123" t="s">
        <v>284</v>
      </c>
    </row>
    <row r="124" spans="1:1">
      <c r="A124" t="s">
        <v>285</v>
      </c>
    </row>
    <row r="125" spans="1:1">
      <c r="A125" t="s">
        <v>286</v>
      </c>
    </row>
    <row r="126" spans="1:1">
      <c r="A126" t="s">
        <v>287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C19" sqref="C19"/>
    </sheetView>
  </sheetViews>
  <sheetFormatPr defaultColWidth="9" defaultRowHeight="13.5"/>
  <cols>
    <col min="1" max="2" width="12.6666666666667" customWidth="1"/>
    <col min="3" max="3" width="13.75" customWidth="1"/>
    <col min="4" max="4" width="12.6666666666667" customWidth="1"/>
    <col min="5" max="5" width="37.5" customWidth="1"/>
    <col min="6" max="7" width="12.6666666666667" customWidth="1"/>
  </cols>
  <sheetData>
    <row r="1" spans="1:19">
      <c r="A1" t="s">
        <v>288</v>
      </c>
      <c r="B1">
        <v>50</v>
      </c>
      <c r="C1" t="s">
        <v>289</v>
      </c>
      <c r="D1">
        <v>4</v>
      </c>
      <c r="E1" t="s">
        <v>290</v>
      </c>
      <c r="F1">
        <v>100</v>
      </c>
      <c r="O1" t="s">
        <v>3</v>
      </c>
      <c r="P1" t="s">
        <v>291</v>
      </c>
      <c r="Q1" t="s">
        <v>128</v>
      </c>
      <c r="R1" t="s">
        <v>292</v>
      </c>
      <c r="S1" t="s">
        <v>293</v>
      </c>
    </row>
    <row r="2" spans="1:19">
      <c r="A2" t="s">
        <v>294</v>
      </c>
      <c r="B2" s="5" t="s">
        <v>295</v>
      </c>
      <c r="C2" s="5"/>
      <c r="D2" t="s">
        <v>296</v>
      </c>
      <c r="E2" s="5" t="s">
        <v>297</v>
      </c>
      <c r="F2" s="5"/>
      <c r="G2" t="s">
        <v>296</v>
      </c>
      <c r="O2" t="s">
        <v>298</v>
      </c>
      <c r="P2" t="s">
        <v>299</v>
      </c>
      <c r="Q2" t="s">
        <v>300</v>
      </c>
      <c r="S2" s="24" t="s">
        <v>301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302</v>
      </c>
      <c r="P3" t="s">
        <v>303</v>
      </c>
      <c r="Q3" t="s">
        <v>304</v>
      </c>
      <c r="R3" t="s">
        <v>305</v>
      </c>
      <c r="S3" s="24" t="s">
        <v>306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307</v>
      </c>
      <c r="P4" t="s">
        <v>308</v>
      </c>
      <c r="Q4" t="s">
        <v>309</v>
      </c>
      <c r="R4" t="s">
        <v>310</v>
      </c>
      <c r="S4" s="24" t="s">
        <v>311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312</v>
      </c>
      <c r="P5" t="s">
        <v>313</v>
      </c>
      <c r="Q5" t="s">
        <v>314</v>
      </c>
      <c r="S5" s="24" t="s">
        <v>315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5"/>
      <c r="M6" s="5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5"/>
      <c r="M7" s="5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5"/>
      <c r="M8" s="5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5"/>
    </row>
    <row r="13" spans="1:19">
      <c r="Q13" s="18"/>
    </row>
    <row r="14" spans="1:19">
      <c r="A14" t="s">
        <v>316</v>
      </c>
      <c r="B14" t="s">
        <v>317</v>
      </c>
      <c r="C14" t="s">
        <v>318</v>
      </c>
      <c r="D14" t="s">
        <v>319</v>
      </c>
      <c r="F14" t="s">
        <v>320</v>
      </c>
      <c r="Q14" s="18"/>
    </row>
    <row r="15" spans="1:19">
      <c r="A15" t="s">
        <v>288</v>
      </c>
      <c r="B15">
        <f>(D1+G9)*50+F1</f>
        <v>900</v>
      </c>
      <c r="C15">
        <v>120</v>
      </c>
      <c r="D15" s="17">
        <f t="shared" ref="D15:D21" si="2">ROUND(C15/$C$22*100,2)</f>
        <v>15.38</v>
      </c>
      <c r="F15" t="s">
        <v>321</v>
      </c>
      <c r="Q15" s="5"/>
    </row>
    <row r="16" spans="1:19">
      <c r="A16" t="s">
        <v>322</v>
      </c>
      <c r="C16">
        <v>240</v>
      </c>
      <c r="D16" s="17">
        <f t="shared" si="2"/>
        <v>30.77</v>
      </c>
      <c r="E16" t="s">
        <v>323</v>
      </c>
      <c r="F16" t="s">
        <v>324</v>
      </c>
      <c r="I16" t="s">
        <v>325</v>
      </c>
      <c r="J16" t="s">
        <v>310</v>
      </c>
      <c r="K16" t="s">
        <v>305</v>
      </c>
      <c r="L16" t="s">
        <v>326</v>
      </c>
      <c r="M16" t="s">
        <v>327</v>
      </c>
      <c r="Q16" s="18"/>
    </row>
    <row r="17" spans="1:17">
      <c r="A17" t="s">
        <v>328</v>
      </c>
      <c r="C17">
        <v>60</v>
      </c>
      <c r="D17" s="17">
        <f t="shared" si="2"/>
        <v>7.69</v>
      </c>
      <c r="F17" t="s">
        <v>329</v>
      </c>
      <c r="J17">
        <v>24</v>
      </c>
      <c r="K17">
        <v>72</v>
      </c>
      <c r="L17">
        <v>16</v>
      </c>
      <c r="M17">
        <v>8</v>
      </c>
      <c r="Q17" s="18"/>
    </row>
    <row r="18" spans="1:17">
      <c r="A18" t="s">
        <v>160</v>
      </c>
      <c r="C18">
        <v>120</v>
      </c>
      <c r="D18" s="17">
        <f t="shared" si="2"/>
        <v>15.38</v>
      </c>
      <c r="F18" t="s">
        <v>330</v>
      </c>
      <c r="I18" t="s">
        <v>160</v>
      </c>
      <c r="J18" t="s">
        <v>331</v>
      </c>
      <c r="K18" t="s">
        <v>332</v>
      </c>
    </row>
    <row r="19" spans="1:17">
      <c r="A19" t="s">
        <v>333</v>
      </c>
      <c r="C19">
        <v>120</v>
      </c>
      <c r="D19" s="17">
        <f t="shared" si="2"/>
        <v>15.38</v>
      </c>
      <c r="E19" t="s">
        <v>334</v>
      </c>
      <c r="F19" t="s">
        <v>330</v>
      </c>
    </row>
    <row r="20" spans="1:17">
      <c r="A20" t="s">
        <v>335</v>
      </c>
      <c r="C20">
        <v>60</v>
      </c>
      <c r="D20" s="17">
        <f t="shared" si="2"/>
        <v>7.69</v>
      </c>
      <c r="Q20" s="18"/>
    </row>
    <row r="21" spans="1:17">
      <c r="A21" t="s">
        <v>336</v>
      </c>
      <c r="C21">
        <v>60</v>
      </c>
      <c r="D21" s="17">
        <f t="shared" si="2"/>
        <v>7.69</v>
      </c>
      <c r="J21" t="s">
        <v>331</v>
      </c>
      <c r="K21" t="s">
        <v>332</v>
      </c>
      <c r="Q21" s="18"/>
    </row>
    <row r="22" spans="1:17">
      <c r="C22">
        <f>SUM(C15:C21)</f>
        <v>780</v>
      </c>
      <c r="D22">
        <f>SUM(D15:D21)</f>
        <v>99.98</v>
      </c>
      <c r="J22" t="s">
        <v>331</v>
      </c>
      <c r="K22" t="s">
        <v>332</v>
      </c>
    </row>
    <row r="23" spans="1:17">
      <c r="B23" t="s">
        <v>337</v>
      </c>
      <c r="C23">
        <f>B15/D15*100</f>
        <v>5851.755526658</v>
      </c>
      <c r="Q23" s="5"/>
    </row>
    <row r="28" spans="1:17">
      <c r="C28">
        <v>2</v>
      </c>
      <c r="Q28" s="5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Q32" s="5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5"/>
    </row>
    <row r="42" spans="3:17">
      <c r="K42">
        <f>2*6*50</f>
        <v>600</v>
      </c>
      <c r="Q42" s="5"/>
    </row>
    <row r="50" spans="12:13">
      <c r="L50" s="5"/>
      <c r="M50" s="5"/>
    </row>
    <row r="51" spans="12:13">
      <c r="L51" s="5"/>
      <c r="M51" s="5"/>
    </row>
    <row r="52" spans="12:13">
      <c r="L52" s="5"/>
      <c r="M52" s="5"/>
    </row>
    <row r="53" spans="12:13">
      <c r="L53" s="5"/>
      <c r="M53" s="5"/>
    </row>
    <row r="54" spans="12:13">
      <c r="L54" s="5"/>
      <c r="M54" s="5"/>
    </row>
    <row r="55" spans="12:13">
      <c r="L55" s="5"/>
      <c r="M55" s="5"/>
    </row>
    <row r="56" spans="12:13">
      <c r="L56" s="5"/>
      <c r="M56" s="5"/>
    </row>
    <row r="57" spans="12:13">
      <c r="L57" s="5"/>
      <c r="M57" s="5"/>
    </row>
    <row r="58" spans="12:13">
      <c r="L58" s="5"/>
      <c r="M58" s="5"/>
    </row>
    <row r="59" spans="12:13">
      <c r="L59" s="5"/>
      <c r="M59" s="5"/>
    </row>
    <row r="60" spans="12:13">
      <c r="L60" s="5"/>
      <c r="M60" s="5"/>
    </row>
    <row r="61" spans="12:13">
      <c r="L61" s="5"/>
      <c r="M61" s="5"/>
    </row>
    <row r="62" spans="12:13">
      <c r="L62" s="5"/>
      <c r="M62" s="5"/>
    </row>
    <row r="63" spans="12:13">
      <c r="L63" s="5"/>
      <c r="M63" s="5"/>
    </row>
    <row r="64" spans="12:13">
      <c r="L64" s="5"/>
      <c r="M64" s="5"/>
    </row>
    <row r="65" spans="12:28">
      <c r="L65" s="5"/>
      <c r="M65" s="5"/>
    </row>
    <row r="66" spans="12:28">
      <c r="L66" s="5"/>
      <c r="M66" s="5"/>
    </row>
    <row r="67" spans="12:28">
      <c r="L67" s="5" t="s">
        <v>338</v>
      </c>
      <c r="M67" s="5"/>
      <c r="N67" s="5"/>
      <c r="O67" s="5"/>
      <c r="P67" s="5"/>
      <c r="Q67" s="5"/>
      <c r="R67" s="5"/>
      <c r="S67" s="5"/>
      <c r="T67" s="5"/>
    </row>
    <row r="68" spans="12:28">
      <c r="M68" s="5"/>
      <c r="N68" s="5"/>
    </row>
    <row r="69" spans="12:28">
      <c r="M69" s="5"/>
      <c r="N69" s="5"/>
    </row>
    <row r="70" spans="12:28">
      <c r="M70" s="5"/>
      <c r="N70" s="5"/>
      <c r="O70" t="s">
        <v>339</v>
      </c>
    </row>
    <row r="71" spans="12:28">
      <c r="M71" s="5" t="s">
        <v>340</v>
      </c>
      <c r="N71" s="5"/>
      <c r="O71" t="s">
        <v>341</v>
      </c>
    </row>
    <row r="72" spans="12:28">
      <c r="M72" s="5" t="s">
        <v>340</v>
      </c>
      <c r="N72" s="5"/>
      <c r="O72" t="s">
        <v>342</v>
      </c>
    </row>
    <row r="73" spans="12:28">
      <c r="M73" s="5" t="s">
        <v>340</v>
      </c>
      <c r="N73" s="5"/>
      <c r="O73" t="s">
        <v>343</v>
      </c>
    </row>
    <row r="74" spans="12:28">
      <c r="M74" s="5" t="s">
        <v>340</v>
      </c>
      <c r="N74" s="5"/>
      <c r="O74" t="s">
        <v>344</v>
      </c>
    </row>
    <row r="75" spans="12:28">
      <c r="M75" s="5" t="s">
        <v>340</v>
      </c>
      <c r="N75" s="5"/>
      <c r="O75" t="s">
        <v>345</v>
      </c>
    </row>
    <row r="76" spans="12:28">
      <c r="M76" s="5" t="s">
        <v>340</v>
      </c>
      <c r="N76" s="5"/>
      <c r="O76" t="s">
        <v>346</v>
      </c>
    </row>
    <row r="77" spans="12:28">
      <c r="L77" s="5"/>
      <c r="M77" s="5"/>
      <c r="U77" t="s">
        <v>347</v>
      </c>
      <c r="V77" t="s">
        <v>348</v>
      </c>
      <c r="Z77" t="s">
        <v>349</v>
      </c>
      <c r="AA77" t="s">
        <v>350</v>
      </c>
      <c r="AB77" t="s">
        <v>351</v>
      </c>
    </row>
    <row r="78" spans="12:28">
      <c r="L78" s="5"/>
      <c r="M78" s="5"/>
    </row>
    <row r="79" spans="12:28">
      <c r="L79" s="5"/>
      <c r="M79" s="5"/>
    </row>
    <row r="80" spans="12:28">
      <c r="L80" s="5"/>
      <c r="M80" s="5"/>
      <c r="N80" t="s">
        <v>352</v>
      </c>
    </row>
    <row r="81" spans="11:20">
      <c r="K81" t="s">
        <v>353</v>
      </c>
      <c r="L81" s="5"/>
      <c r="M81" s="5"/>
    </row>
    <row r="82" spans="11:20">
      <c r="K82" t="s">
        <v>354</v>
      </c>
      <c r="L82" s="5"/>
      <c r="M82" s="5"/>
    </row>
    <row r="83" spans="11:20">
      <c r="L83" s="5"/>
      <c r="M83" s="5"/>
    </row>
    <row r="84" ht="14.4" customHeight="1" spans="11:20">
      <c r="K84" t="s">
        <v>48</v>
      </c>
      <c r="L84" s="5" t="s">
        <v>140</v>
      </c>
      <c r="M84" s="5"/>
      <c r="N84" s="16">
        <v>0.5</v>
      </c>
      <c r="O84" s="19" t="s">
        <v>355</v>
      </c>
      <c r="P84" s="20"/>
      <c r="Q84" s="20"/>
      <c r="R84" s="20"/>
      <c r="S84" s="20"/>
      <c r="T84" s="20"/>
    </row>
    <row r="85" spans="11:20">
      <c r="K85" t="s">
        <v>176</v>
      </c>
      <c r="L85" s="5" t="s">
        <v>140</v>
      </c>
      <c r="M85" s="5"/>
    </row>
    <row r="86" spans="11:20">
      <c r="K86" t="s">
        <v>356</v>
      </c>
      <c r="L86" s="5" t="s">
        <v>133</v>
      </c>
      <c r="M86" s="5"/>
    </row>
    <row r="87" spans="11:20">
      <c r="L87" s="5"/>
      <c r="M87" s="5"/>
    </row>
    <row r="88" spans="11:20">
      <c r="L88" s="5"/>
      <c r="M88" s="5"/>
    </row>
    <row r="89" spans="11:20">
      <c r="K89" t="s">
        <v>78</v>
      </c>
      <c r="L89" s="5"/>
      <c r="M89" s="5"/>
      <c r="N89" t="s">
        <v>357</v>
      </c>
    </row>
    <row r="90" spans="11:20">
      <c r="L90" s="5"/>
      <c r="M90" s="5"/>
    </row>
    <row r="202" spans="12:13">
      <c r="L202" s="5"/>
      <c r="M202" s="5"/>
    </row>
    <row r="203" spans="12:13">
      <c r="L203" s="5"/>
      <c r="M203" s="5"/>
    </row>
    <row r="204" spans="12:13">
      <c r="L204" s="5"/>
      <c r="M204" s="5"/>
    </row>
    <row r="205" spans="12:13">
      <c r="L205" s="5"/>
      <c r="M205" s="5"/>
    </row>
    <row r="206" spans="12:13">
      <c r="L206" s="5"/>
      <c r="M206" s="5"/>
    </row>
    <row r="207" spans="12:13">
      <c r="L207" s="5"/>
      <c r="M207" s="5"/>
    </row>
    <row r="208" spans="12:13">
      <c r="L208" s="5"/>
      <c r="M208" s="5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workbookViewId="0">
      <selection activeCell="C26" sqref="C26:C31"/>
    </sheetView>
  </sheetViews>
  <sheetFormatPr defaultColWidth="9" defaultRowHeight="13.5"/>
  <cols>
    <col min="7" max="9" width="8.66666666666667" customWidth="1"/>
    <col min="10" max="14" width="12.625" customWidth="1"/>
  </cols>
  <sheetData>
    <row r="1" spans="1:16">
      <c r="A1" t="s">
        <v>358</v>
      </c>
      <c r="B1" t="s">
        <v>359</v>
      </c>
      <c r="C1" t="s">
        <v>360</v>
      </c>
      <c r="D1" t="s">
        <v>361</v>
      </c>
      <c r="E1" t="s">
        <v>362</v>
      </c>
    </row>
    <row r="2" customHeight="1" spans="1:16">
      <c r="A2" t="s">
        <v>159</v>
      </c>
      <c r="B2" t="s">
        <v>10</v>
      </c>
      <c r="C2" t="s">
        <v>363</v>
      </c>
      <c r="D2" t="s">
        <v>364</v>
      </c>
      <c r="E2" t="s">
        <v>365</v>
      </c>
    </row>
    <row r="3" spans="1:16">
      <c r="A3" t="s">
        <v>366</v>
      </c>
      <c r="B3" t="s">
        <v>11</v>
      </c>
      <c r="C3" t="s">
        <v>367</v>
      </c>
      <c r="D3" t="s">
        <v>368</v>
      </c>
      <c r="E3" t="s">
        <v>369</v>
      </c>
    </row>
    <row r="4" customHeight="1" spans="1:16">
      <c r="A4" t="s">
        <v>370</v>
      </c>
      <c r="B4" t="s">
        <v>9</v>
      </c>
      <c r="C4" t="s">
        <v>371</v>
      </c>
      <c r="D4" t="s">
        <v>372</v>
      </c>
      <c r="E4" t="s">
        <v>373</v>
      </c>
    </row>
    <row r="5" spans="1:16">
      <c r="A5" t="s">
        <v>374</v>
      </c>
      <c r="B5" t="s">
        <v>13</v>
      </c>
      <c r="C5" t="s">
        <v>375</v>
      </c>
      <c r="D5" t="s">
        <v>376</v>
      </c>
      <c r="E5" t="s">
        <v>377</v>
      </c>
    </row>
    <row r="6" customHeight="1" spans="1:16">
      <c r="A6" t="s">
        <v>378</v>
      </c>
      <c r="B6" t="s">
        <v>12</v>
      </c>
      <c r="C6" t="s">
        <v>379</v>
      </c>
      <c r="D6" t="s">
        <v>379</v>
      </c>
      <c r="E6" t="s">
        <v>379</v>
      </c>
    </row>
    <row r="7" spans="1:16">
      <c r="A7" t="s">
        <v>380</v>
      </c>
      <c r="B7" t="s">
        <v>14</v>
      </c>
      <c r="C7" t="s">
        <v>379</v>
      </c>
      <c r="D7" t="s">
        <v>379</v>
      </c>
      <c r="E7" t="s">
        <v>379</v>
      </c>
    </row>
    <row r="8" customHeight="1"/>
    <row r="10" customHeight="1"/>
    <row r="11" spans="1:16">
      <c r="A11" t="s">
        <v>381</v>
      </c>
      <c r="B11" t="s">
        <v>382</v>
      </c>
      <c r="C11" t="s">
        <v>383</v>
      </c>
      <c r="D11" t="s">
        <v>384</v>
      </c>
      <c r="H11" t="s">
        <v>385</v>
      </c>
    </row>
    <row r="12" spans="1:16">
      <c r="A12" t="s">
        <v>386</v>
      </c>
      <c r="B12">
        <v>3</v>
      </c>
      <c r="C12" t="s">
        <v>387</v>
      </c>
      <c r="D12">
        <v>1</v>
      </c>
      <c r="H12" t="s">
        <v>388</v>
      </c>
      <c r="J12" s="5" t="s">
        <v>389</v>
      </c>
      <c r="K12" s="5"/>
      <c r="L12" s="5"/>
      <c r="M12" s="5"/>
      <c r="N12" s="5"/>
    </row>
    <row r="13" spans="1:16">
      <c r="A13" t="s">
        <v>390</v>
      </c>
      <c r="B13">
        <v>6</v>
      </c>
      <c r="C13" t="s">
        <v>391</v>
      </c>
      <c r="D13">
        <v>2</v>
      </c>
      <c r="J13" t="s">
        <v>392</v>
      </c>
      <c r="K13" s="5" t="s">
        <v>393</v>
      </c>
      <c r="L13" s="5"/>
      <c r="M13" s="5"/>
      <c r="N13" s="5"/>
      <c r="O13" s="5"/>
      <c r="P13" s="5"/>
    </row>
    <row r="14" spans="1:16">
      <c r="A14" t="s">
        <v>394</v>
      </c>
      <c r="B14">
        <v>9</v>
      </c>
      <c r="C14" t="s">
        <v>395</v>
      </c>
      <c r="D14">
        <v>3</v>
      </c>
      <c r="G14" t="s">
        <v>363</v>
      </c>
      <c r="H14" t="s">
        <v>10</v>
      </c>
      <c r="I14" s="16">
        <v>0.9</v>
      </c>
      <c r="J14" s="16" t="s">
        <v>396</v>
      </c>
      <c r="K14" t="s">
        <v>397</v>
      </c>
      <c r="L14" s="16" t="s">
        <v>398</v>
      </c>
      <c r="M14" t="s">
        <v>396</v>
      </c>
      <c r="N14" t="s">
        <v>399</v>
      </c>
    </row>
    <row r="15" spans="1:16">
      <c r="A15" t="s">
        <v>400</v>
      </c>
      <c r="B15">
        <v>12</v>
      </c>
      <c r="C15" t="s">
        <v>401</v>
      </c>
      <c r="D15">
        <v>4</v>
      </c>
      <c r="G15" t="s">
        <v>402</v>
      </c>
      <c r="H15" t="s">
        <v>10</v>
      </c>
      <c r="I15" s="16">
        <v>0.9</v>
      </c>
      <c r="J15" t="s">
        <v>403</v>
      </c>
      <c r="K15" s="16" t="s">
        <v>404</v>
      </c>
      <c r="L15" s="16" t="s">
        <v>405</v>
      </c>
      <c r="M15" t="s">
        <v>48</v>
      </c>
      <c r="N15" t="s">
        <v>399</v>
      </c>
    </row>
    <row r="16" spans="1:16">
      <c r="A16" t="s">
        <v>406</v>
      </c>
      <c r="B16">
        <v>15</v>
      </c>
      <c r="C16" t="s">
        <v>407</v>
      </c>
      <c r="D16">
        <v>5</v>
      </c>
      <c r="G16" t="s">
        <v>364</v>
      </c>
      <c r="H16" t="s">
        <v>10</v>
      </c>
      <c r="I16" s="16">
        <v>1</v>
      </c>
      <c r="J16" t="s">
        <v>172</v>
      </c>
      <c r="K16" t="s">
        <v>408</v>
      </c>
      <c r="L16" t="s">
        <v>409</v>
      </c>
      <c r="M16" t="s">
        <v>172</v>
      </c>
      <c r="N16" t="s">
        <v>399</v>
      </c>
    </row>
    <row r="17" spans="1:15">
      <c r="G17" t="s">
        <v>410</v>
      </c>
      <c r="H17" t="s">
        <v>10</v>
      </c>
      <c r="I17" s="16">
        <v>1</v>
      </c>
      <c r="J17" t="s">
        <v>411</v>
      </c>
      <c r="K17" t="s">
        <v>93</v>
      </c>
      <c r="L17" s="16" t="s">
        <v>408</v>
      </c>
      <c r="M17" t="s">
        <v>411</v>
      </c>
      <c r="N17" t="s">
        <v>412</v>
      </c>
    </row>
    <row r="18" spans="1:15">
      <c r="G18" t="s">
        <v>367</v>
      </c>
      <c r="H18" t="s">
        <v>11</v>
      </c>
      <c r="I18" s="16">
        <v>0.8</v>
      </c>
      <c r="J18" t="s">
        <v>403</v>
      </c>
      <c r="K18" t="s">
        <v>49</v>
      </c>
    </row>
    <row r="19" spans="1:15">
      <c r="G19" t="s">
        <v>368</v>
      </c>
      <c r="H19" t="s">
        <v>11</v>
      </c>
      <c r="I19" s="16">
        <v>0.9</v>
      </c>
      <c r="J19" t="s">
        <v>413</v>
      </c>
      <c r="K19" t="s">
        <v>49</v>
      </c>
    </row>
    <row r="20" spans="1:15">
      <c r="G20" t="s">
        <v>369</v>
      </c>
      <c r="H20" t="s">
        <v>11</v>
      </c>
      <c r="I20" s="16">
        <v>1</v>
      </c>
      <c r="J20" s="16" t="s">
        <v>414</v>
      </c>
      <c r="K20" t="s">
        <v>49</v>
      </c>
      <c r="M20" s="16"/>
    </row>
    <row r="21" spans="1:15">
      <c r="G21" t="s">
        <v>371</v>
      </c>
      <c r="H21" t="s">
        <v>9</v>
      </c>
      <c r="I21" s="16">
        <v>0.85</v>
      </c>
      <c r="J21" t="s">
        <v>226</v>
      </c>
      <c r="K21" t="s">
        <v>49</v>
      </c>
    </row>
    <row r="22" spans="1:15">
      <c r="G22" t="s">
        <v>372</v>
      </c>
      <c r="H22" t="s">
        <v>9</v>
      </c>
      <c r="I22" s="16">
        <v>1</v>
      </c>
      <c r="J22" t="s">
        <v>415</v>
      </c>
      <c r="K22" t="s">
        <v>49</v>
      </c>
    </row>
    <row r="23" spans="1:15">
      <c r="G23" t="s">
        <v>373</v>
      </c>
      <c r="H23" t="s">
        <v>9</v>
      </c>
      <c r="I23" s="16">
        <v>1.15</v>
      </c>
      <c r="J23" t="s">
        <v>416</v>
      </c>
      <c r="K23" t="s">
        <v>49</v>
      </c>
    </row>
    <row r="24" spans="1:15">
      <c r="G24" t="s">
        <v>375</v>
      </c>
      <c r="H24" t="s">
        <v>13</v>
      </c>
      <c r="I24" s="16">
        <v>1.15</v>
      </c>
      <c r="J24" t="s">
        <v>403</v>
      </c>
      <c r="K24" t="s">
        <v>49</v>
      </c>
    </row>
    <row r="25" spans="1:15">
      <c r="G25" t="s">
        <v>376</v>
      </c>
      <c r="H25" t="s">
        <v>13</v>
      </c>
      <c r="I25" s="16">
        <v>1</v>
      </c>
      <c r="J25" t="s">
        <v>417</v>
      </c>
      <c r="K25" t="s">
        <v>49</v>
      </c>
    </row>
    <row r="26" spans="1:15">
      <c r="A26" t="s">
        <v>418</v>
      </c>
      <c r="B26" t="s">
        <v>382</v>
      </c>
      <c r="C26" t="s">
        <v>318</v>
      </c>
      <c r="D26" t="s">
        <v>128</v>
      </c>
      <c r="G26" t="s">
        <v>377</v>
      </c>
      <c r="H26" t="s">
        <v>13</v>
      </c>
      <c r="I26" s="16">
        <v>0.85</v>
      </c>
      <c r="J26" t="s">
        <v>419</v>
      </c>
      <c r="K26" t="s">
        <v>49</v>
      </c>
    </row>
    <row r="27" spans="1:15">
      <c r="A27" t="s">
        <v>386</v>
      </c>
      <c r="B27">
        <v>3</v>
      </c>
      <c r="C27" t="s">
        <v>420</v>
      </c>
      <c r="D27" t="s">
        <v>421</v>
      </c>
      <c r="G27" t="s">
        <v>422</v>
      </c>
      <c r="H27" t="s">
        <v>12</v>
      </c>
      <c r="J27" t="s">
        <v>398</v>
      </c>
      <c r="K27" t="s">
        <v>113</v>
      </c>
      <c r="L27" t="s">
        <v>109</v>
      </c>
      <c r="M27" t="s">
        <v>123</v>
      </c>
      <c r="N27" t="s">
        <v>124</v>
      </c>
      <c r="O27" t="s">
        <v>78</v>
      </c>
    </row>
    <row r="28" spans="1:15">
      <c r="A28" t="s">
        <v>390</v>
      </c>
      <c r="B28">
        <v>6</v>
      </c>
      <c r="C28" t="s">
        <v>423</v>
      </c>
      <c r="D28" t="s">
        <v>421</v>
      </c>
      <c r="G28" t="s">
        <v>380</v>
      </c>
      <c r="H28" t="s">
        <v>14</v>
      </c>
      <c r="J28" t="s">
        <v>397</v>
      </c>
      <c r="K28" t="s">
        <v>48</v>
      </c>
      <c r="L28" t="s">
        <v>46</v>
      </c>
      <c r="M28" t="s">
        <v>47</v>
      </c>
      <c r="N28" t="s">
        <v>111</v>
      </c>
      <c r="O28" t="s">
        <v>112</v>
      </c>
    </row>
    <row r="29" spans="1:15">
      <c r="A29" t="s">
        <v>394</v>
      </c>
      <c r="B29">
        <v>9</v>
      </c>
      <c r="C29" t="s">
        <v>424</v>
      </c>
      <c r="D29" t="s">
        <v>421</v>
      </c>
    </row>
    <row r="30" spans="1:15">
      <c r="A30" t="s">
        <v>400</v>
      </c>
      <c r="B30">
        <v>12</v>
      </c>
      <c r="C30" t="s">
        <v>425</v>
      </c>
      <c r="D30" t="s">
        <v>421</v>
      </c>
    </row>
    <row r="31" spans="1:15">
      <c r="A31" t="s">
        <v>406</v>
      </c>
      <c r="B31">
        <v>15</v>
      </c>
      <c r="C31" t="s">
        <v>426</v>
      </c>
      <c r="D31" t="s">
        <v>421</v>
      </c>
    </row>
    <row r="32" spans="1:15">
      <c r="G32" t="s">
        <v>427</v>
      </c>
      <c r="M32" s="16"/>
    </row>
    <row r="33" spans="7:32">
      <c r="M33" s="17"/>
      <c r="AF33" s="16"/>
    </row>
    <row r="34" spans="7:32">
      <c r="G34" t="s">
        <v>428</v>
      </c>
      <c r="H34" t="s">
        <v>387</v>
      </c>
      <c r="I34" t="s">
        <v>391</v>
      </c>
      <c r="J34" t="s">
        <v>395</v>
      </c>
      <c r="K34" t="s">
        <v>401</v>
      </c>
      <c r="L34" t="s">
        <v>407</v>
      </c>
      <c r="M34" s="17"/>
      <c r="AF34" s="16"/>
    </row>
    <row r="35" spans="7:32">
      <c r="G35" t="s">
        <v>429</v>
      </c>
      <c r="H35">
        <v>4</v>
      </c>
      <c r="I35">
        <v>5</v>
      </c>
      <c r="J35">
        <v>5</v>
      </c>
      <c r="K35">
        <v>6</v>
      </c>
      <c r="L35">
        <v>6</v>
      </c>
      <c r="M35" s="17"/>
    </row>
    <row r="36" spans="7:32">
      <c r="G36" t="s">
        <v>430</v>
      </c>
      <c r="H36">
        <v>6</v>
      </c>
      <c r="I36">
        <v>7</v>
      </c>
      <c r="J36">
        <v>8</v>
      </c>
      <c r="K36">
        <v>9</v>
      </c>
      <c r="L36">
        <v>10</v>
      </c>
      <c r="M36" s="17"/>
    </row>
    <row r="37" spans="7:32">
      <c r="G37" t="s">
        <v>431</v>
      </c>
      <c r="H37">
        <v>8</v>
      </c>
      <c r="I37">
        <v>9</v>
      </c>
      <c r="J37">
        <v>10</v>
      </c>
      <c r="K37">
        <v>12</v>
      </c>
      <c r="L37">
        <v>13</v>
      </c>
      <c r="M37" s="17"/>
    </row>
    <row r="38" spans="7:32">
      <c r="G38" t="s">
        <v>432</v>
      </c>
      <c r="H38">
        <v>10</v>
      </c>
      <c r="I38">
        <v>12</v>
      </c>
      <c r="J38">
        <v>13</v>
      </c>
      <c r="K38">
        <v>15</v>
      </c>
      <c r="L38">
        <v>16</v>
      </c>
      <c r="M38" s="17"/>
    </row>
    <row r="39" spans="7:32">
      <c r="G39" t="s">
        <v>433</v>
      </c>
      <c r="H39">
        <v>12</v>
      </c>
      <c r="I39">
        <v>14</v>
      </c>
      <c r="J39">
        <v>16</v>
      </c>
      <c r="K39">
        <v>17</v>
      </c>
      <c r="L39">
        <v>19</v>
      </c>
      <c r="M39" s="17"/>
    </row>
    <row r="40" spans="7:32">
      <c r="M40" s="17"/>
    </row>
    <row r="41" spans="7:32">
      <c r="G41" t="s">
        <v>428</v>
      </c>
      <c r="H41" t="s">
        <v>387</v>
      </c>
      <c r="I41" t="s">
        <v>391</v>
      </c>
      <c r="J41" t="s">
        <v>395</v>
      </c>
      <c r="K41" t="s">
        <v>401</v>
      </c>
      <c r="L41" t="s">
        <v>407</v>
      </c>
      <c r="M41" s="17"/>
    </row>
    <row r="42" spans="7:32">
      <c r="G42" t="s">
        <v>429</v>
      </c>
      <c r="H42" t="s">
        <v>379</v>
      </c>
      <c r="I42" t="s">
        <v>379</v>
      </c>
      <c r="J42" t="s">
        <v>379</v>
      </c>
      <c r="K42" t="s">
        <v>379</v>
      </c>
      <c r="L42" t="s">
        <v>379</v>
      </c>
      <c r="M42" s="17"/>
    </row>
    <row r="43" spans="7:32">
      <c r="G43" t="s">
        <v>430</v>
      </c>
      <c r="H43" t="s">
        <v>379</v>
      </c>
      <c r="I43" t="s">
        <v>379</v>
      </c>
      <c r="J43">
        <v>4</v>
      </c>
      <c r="K43">
        <v>5</v>
      </c>
      <c r="L43">
        <v>6</v>
      </c>
      <c r="M43" s="17"/>
    </row>
    <row r="44" spans="7:32">
      <c r="G44" t="s">
        <v>431</v>
      </c>
      <c r="H44" t="s">
        <v>379</v>
      </c>
      <c r="I44" t="s">
        <v>379</v>
      </c>
      <c r="J44">
        <v>6</v>
      </c>
      <c r="K44">
        <v>7</v>
      </c>
      <c r="L44">
        <v>8</v>
      </c>
      <c r="M44" s="17"/>
    </row>
    <row r="45" spans="7:32">
      <c r="G45" t="s">
        <v>432</v>
      </c>
      <c r="H45" t="s">
        <v>379</v>
      </c>
      <c r="I45" t="s">
        <v>379</v>
      </c>
      <c r="J45">
        <v>8</v>
      </c>
      <c r="K45">
        <v>9</v>
      </c>
      <c r="L45">
        <v>10</v>
      </c>
      <c r="M45" s="17"/>
    </row>
    <row r="46" spans="7:32">
      <c r="G46" t="s">
        <v>433</v>
      </c>
      <c r="H46" t="s">
        <v>379</v>
      </c>
      <c r="I46" t="s">
        <v>379</v>
      </c>
      <c r="J46">
        <v>10</v>
      </c>
      <c r="K46">
        <v>11</v>
      </c>
      <c r="L46">
        <v>12</v>
      </c>
      <c r="M46" s="17"/>
    </row>
    <row r="50" spans="1:32">
      <c r="A50" t="s">
        <v>434</v>
      </c>
      <c r="G50" t="s">
        <v>363</v>
      </c>
      <c r="H50" t="s">
        <v>364</v>
      </c>
      <c r="I50" t="s">
        <v>402</v>
      </c>
      <c r="J50" t="s">
        <v>410</v>
      </c>
      <c r="K50" t="s">
        <v>367</v>
      </c>
      <c r="L50" t="s">
        <v>368</v>
      </c>
      <c r="M50" t="s">
        <v>369</v>
      </c>
      <c r="N50" t="s">
        <v>371</v>
      </c>
      <c r="O50" t="s">
        <v>372</v>
      </c>
      <c r="P50" t="s">
        <v>373</v>
      </c>
      <c r="Q50" t="s">
        <v>435</v>
      </c>
      <c r="R50" t="s">
        <v>436</v>
      </c>
      <c r="S50" t="s">
        <v>377</v>
      </c>
      <c r="T50" t="s">
        <v>378</v>
      </c>
      <c r="U50" t="s">
        <v>380</v>
      </c>
    </row>
    <row r="51" spans="1:32">
      <c r="A51">
        <v>1</v>
      </c>
      <c r="B51" t="s">
        <v>437</v>
      </c>
      <c r="G51" t="s">
        <v>0</v>
      </c>
      <c r="H51" t="s">
        <v>0</v>
      </c>
      <c r="I51" t="s">
        <v>0</v>
      </c>
      <c r="J51" t="s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0</v>
      </c>
      <c r="U51" t="s">
        <v>0</v>
      </c>
    </row>
    <row r="52" spans="1:32">
      <c r="A52">
        <v>2</v>
      </c>
      <c r="B52" t="s">
        <v>303</v>
      </c>
      <c r="G52" t="s">
        <v>99</v>
      </c>
      <c r="H52" t="s">
        <v>99</v>
      </c>
      <c r="I52" t="s">
        <v>99</v>
      </c>
      <c r="J52" t="s">
        <v>99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105</v>
      </c>
      <c r="T52" t="s">
        <v>99</v>
      </c>
      <c r="U52" t="s">
        <v>99</v>
      </c>
    </row>
    <row r="53" spans="1:32">
      <c r="A53">
        <v>3</v>
      </c>
      <c r="B53" t="s">
        <v>438</v>
      </c>
      <c r="G53" t="s">
        <v>439</v>
      </c>
      <c r="H53" t="s">
        <v>439</v>
      </c>
      <c r="I53" t="s">
        <v>439</v>
      </c>
      <c r="J53" t="s">
        <v>439</v>
      </c>
      <c r="K53" t="s">
        <v>440</v>
      </c>
      <c r="L53" t="s">
        <v>440</v>
      </c>
      <c r="M53" t="s">
        <v>440</v>
      </c>
      <c r="N53" t="s">
        <v>440</v>
      </c>
      <c r="O53" t="s">
        <v>440</v>
      </c>
      <c r="P53" t="s">
        <v>440</v>
      </c>
      <c r="Q53" t="s">
        <v>440</v>
      </c>
      <c r="R53" t="s">
        <v>440</v>
      </c>
      <c r="S53" t="s">
        <v>440</v>
      </c>
      <c r="T53" t="s">
        <v>439</v>
      </c>
      <c r="U53" t="s">
        <v>439</v>
      </c>
    </row>
    <row r="54" spans="1:32">
      <c r="A54">
        <v>4</v>
      </c>
      <c r="B54" t="s">
        <v>441</v>
      </c>
      <c r="G54" t="s">
        <v>87</v>
      </c>
      <c r="H54" t="s">
        <v>87</v>
      </c>
      <c r="I54" t="s">
        <v>87</v>
      </c>
      <c r="J54" t="s">
        <v>87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89</v>
      </c>
      <c r="T54" t="s">
        <v>87</v>
      </c>
      <c r="U54" t="s">
        <v>87</v>
      </c>
    </row>
    <row r="55" spans="1:32">
      <c r="A55">
        <v>5</v>
      </c>
      <c r="B55" t="s">
        <v>427</v>
      </c>
      <c r="G55" t="s">
        <v>442</v>
      </c>
      <c r="H55" t="s">
        <v>442</v>
      </c>
      <c r="I55" t="s">
        <v>442</v>
      </c>
      <c r="J55" t="s">
        <v>442</v>
      </c>
      <c r="K55" t="s">
        <v>443</v>
      </c>
      <c r="L55" t="s">
        <v>443</v>
      </c>
      <c r="M55" t="s">
        <v>443</v>
      </c>
      <c r="N55" t="s">
        <v>443</v>
      </c>
      <c r="O55" t="s">
        <v>443</v>
      </c>
      <c r="P55" t="s">
        <v>443</v>
      </c>
      <c r="Q55" t="s">
        <v>443</v>
      </c>
      <c r="R55" t="s">
        <v>443</v>
      </c>
      <c r="S55" t="s">
        <v>443</v>
      </c>
      <c r="T55" t="s">
        <v>442</v>
      </c>
      <c r="U55" t="s">
        <v>442</v>
      </c>
    </row>
    <row r="62" spans="1:32">
      <c r="AF62" s="17"/>
    </row>
    <row r="63" spans="1:32">
      <c r="AF63" s="17"/>
    </row>
  </sheetData>
  <mergeCells count="2">
    <mergeCell ref="J12:N12"/>
    <mergeCell ref="K13:P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opLeftCell="A16" workbookViewId="0">
      <selection activeCell="A9" sqref="A9:F36"/>
    </sheetView>
  </sheetViews>
  <sheetFormatPr defaultColWidth="9" defaultRowHeight="13.5" outlineLevelCol="5"/>
  <cols>
    <col min="1" max="1" width="13.5" customWidth="1"/>
    <col min="2" max="2" width="86.125" customWidth="1"/>
  </cols>
  <sheetData>
    <row r="1" spans="1:6">
      <c r="A1" t="s">
        <v>444</v>
      </c>
    </row>
    <row r="2" spans="1:6">
      <c r="A2" t="s">
        <v>445</v>
      </c>
    </row>
    <row r="3" spans="1:6">
      <c r="A3" t="s">
        <v>446</v>
      </c>
    </row>
    <row r="4" spans="1:6">
      <c r="A4" t="s">
        <v>447</v>
      </c>
    </row>
    <row r="7" spans="1:6">
      <c r="A7" s="1"/>
      <c r="B7" s="1"/>
      <c r="C7" s="4" t="s">
        <v>448</v>
      </c>
      <c r="D7" s="4">
        <v>50</v>
      </c>
      <c r="E7" s="4"/>
      <c r="F7" s="4"/>
    </row>
    <row r="8" spans="1:6">
      <c r="A8" s="1"/>
      <c r="B8" s="1"/>
      <c r="C8" s="4"/>
      <c r="D8" s="1" t="s">
        <v>449</v>
      </c>
      <c r="E8" s="1" t="s">
        <v>450</v>
      </c>
      <c r="F8" s="1"/>
    </row>
    <row r="9" spans="1:6">
      <c r="A9" s="4" t="s">
        <v>322</v>
      </c>
      <c r="B9" s="15" t="s">
        <v>451</v>
      </c>
      <c r="C9" s="4" t="s">
        <v>452</v>
      </c>
      <c r="D9" s="1">
        <v>1</v>
      </c>
      <c r="E9" s="1">
        <v>0.1</v>
      </c>
      <c r="F9" s="1">
        <f>D9+E9*$D$7</f>
        <v>6</v>
      </c>
    </row>
    <row r="10" spans="1:6">
      <c r="A10" s="4"/>
      <c r="B10" s="15"/>
      <c r="C10" s="4" t="s">
        <v>453</v>
      </c>
      <c r="D10" s="1">
        <v>10</v>
      </c>
      <c r="E10" s="1">
        <v>0.2</v>
      </c>
      <c r="F10" s="1">
        <f t="shared" ref="F10:F41" si="0">D10+E10*$D$7</f>
        <v>20</v>
      </c>
    </row>
    <row r="11" spans="1:6">
      <c r="A11" s="4"/>
      <c r="B11" s="4" t="s">
        <v>454</v>
      </c>
      <c r="C11" s="4" t="s">
        <v>452</v>
      </c>
      <c r="D11" s="1">
        <v>1</v>
      </c>
      <c r="E11" s="1">
        <v>0.06</v>
      </c>
      <c r="F11" s="1">
        <f t="shared" si="0"/>
        <v>4</v>
      </c>
    </row>
    <row r="12" spans="1:6">
      <c r="A12" s="4"/>
      <c r="B12" s="4"/>
      <c r="C12" s="4" t="s">
        <v>453</v>
      </c>
      <c r="D12" s="1">
        <v>4</v>
      </c>
      <c r="E12" s="1">
        <v>0.12</v>
      </c>
      <c r="F12" s="1">
        <f t="shared" si="0"/>
        <v>10</v>
      </c>
    </row>
    <row r="13" spans="1:6">
      <c r="A13" s="4"/>
      <c r="B13" s="4" t="s">
        <v>455</v>
      </c>
      <c r="C13" s="4" t="s">
        <v>452</v>
      </c>
      <c r="D13" s="1">
        <v>1</v>
      </c>
      <c r="E13" s="1">
        <v>0.04</v>
      </c>
      <c r="F13" s="1">
        <f t="shared" si="0"/>
        <v>3</v>
      </c>
    </row>
    <row r="14" spans="1:6">
      <c r="A14" s="4"/>
      <c r="B14" s="4"/>
      <c r="C14" s="4" t="s">
        <v>453</v>
      </c>
      <c r="D14" s="1">
        <v>3</v>
      </c>
      <c r="E14" s="1">
        <v>0.06</v>
      </c>
      <c r="F14" s="1">
        <f t="shared" si="0"/>
        <v>6</v>
      </c>
    </row>
    <row r="15" spans="1:6">
      <c r="A15" s="4"/>
      <c r="B15" s="4" t="s">
        <v>456</v>
      </c>
      <c r="C15" s="4" t="s">
        <v>452</v>
      </c>
      <c r="D15" s="1">
        <v>1</v>
      </c>
      <c r="E15" s="1">
        <v>0.06</v>
      </c>
      <c r="F15" s="1">
        <f t="shared" si="0"/>
        <v>4</v>
      </c>
    </row>
    <row r="16" spans="1:6">
      <c r="A16" s="4"/>
      <c r="B16" s="4"/>
      <c r="C16" s="4" t="s">
        <v>453</v>
      </c>
      <c r="D16" s="1">
        <v>3</v>
      </c>
      <c r="E16" s="1">
        <v>0.1</v>
      </c>
      <c r="F16" s="1">
        <f t="shared" si="0"/>
        <v>8</v>
      </c>
    </row>
    <row r="17" spans="1:6">
      <c r="A17" s="4"/>
      <c r="B17" s="4" t="s">
        <v>457</v>
      </c>
      <c r="C17" s="4" t="s">
        <v>452</v>
      </c>
      <c r="D17" s="1">
        <v>1</v>
      </c>
      <c r="E17" s="1">
        <v>0.06</v>
      </c>
      <c r="F17" s="1">
        <f t="shared" si="0"/>
        <v>4</v>
      </c>
    </row>
    <row r="18" spans="1:6">
      <c r="A18" s="4"/>
      <c r="B18" s="4"/>
      <c r="C18" s="4" t="s">
        <v>453</v>
      </c>
      <c r="D18" s="1">
        <v>4</v>
      </c>
      <c r="E18" s="1">
        <v>0.12</v>
      </c>
      <c r="F18" s="1">
        <f t="shared" si="0"/>
        <v>10</v>
      </c>
    </row>
    <row r="19" spans="1:6">
      <c r="A19" s="4"/>
      <c r="B19" s="4" t="s">
        <v>46</v>
      </c>
      <c r="C19" s="4" t="s">
        <v>452</v>
      </c>
      <c r="D19" s="1">
        <v>3</v>
      </c>
      <c r="E19" s="1">
        <v>0.06</v>
      </c>
      <c r="F19" s="1">
        <f t="shared" si="0"/>
        <v>6</v>
      </c>
    </row>
    <row r="20" spans="1:6">
      <c r="A20" s="4"/>
      <c r="B20" s="4"/>
      <c r="C20" s="4" t="s">
        <v>453</v>
      </c>
      <c r="D20" s="1">
        <v>8</v>
      </c>
      <c r="E20" s="1">
        <v>0.12</v>
      </c>
      <c r="F20" s="1">
        <f t="shared" si="0"/>
        <v>14</v>
      </c>
    </row>
    <row r="21" spans="1:6">
      <c r="A21" s="4"/>
      <c r="B21" s="4" t="s">
        <v>458</v>
      </c>
      <c r="C21" s="4" t="s">
        <v>452</v>
      </c>
      <c r="D21" s="1">
        <v>1</v>
      </c>
      <c r="E21" s="1">
        <v>0.1</v>
      </c>
      <c r="F21" s="1">
        <f t="shared" si="0"/>
        <v>6</v>
      </c>
    </row>
    <row r="22" spans="1:6">
      <c r="A22" s="4"/>
      <c r="B22" s="4"/>
      <c r="C22" s="4" t="s">
        <v>453</v>
      </c>
      <c r="D22" s="1">
        <v>10</v>
      </c>
      <c r="E22" s="1">
        <v>0.2</v>
      </c>
      <c r="F22" s="1">
        <f t="shared" si="0"/>
        <v>20</v>
      </c>
    </row>
    <row r="23" spans="1:6">
      <c r="A23" s="4"/>
      <c r="B23" s="4" t="s">
        <v>459</v>
      </c>
      <c r="C23" s="4" t="s">
        <v>452</v>
      </c>
      <c r="D23" s="1">
        <v>1</v>
      </c>
      <c r="E23" s="1">
        <v>0.04</v>
      </c>
      <c r="F23" s="1">
        <f t="shared" si="0"/>
        <v>3</v>
      </c>
    </row>
    <row r="24" spans="1:6">
      <c r="A24" s="4"/>
      <c r="B24" s="4"/>
      <c r="C24" s="4" t="s">
        <v>453</v>
      </c>
      <c r="D24" s="1">
        <v>3</v>
      </c>
      <c r="E24" s="1">
        <v>0.06</v>
      </c>
      <c r="F24" s="1">
        <f t="shared" si="0"/>
        <v>6</v>
      </c>
    </row>
    <row r="25" spans="1:6">
      <c r="A25" s="4"/>
      <c r="B25" s="4" t="s">
        <v>112</v>
      </c>
      <c r="C25" s="4" t="s">
        <v>452</v>
      </c>
      <c r="D25" s="1">
        <v>1</v>
      </c>
      <c r="E25" s="1">
        <v>0.06</v>
      </c>
      <c r="F25" s="1">
        <f t="shared" si="0"/>
        <v>4</v>
      </c>
    </row>
    <row r="26" spans="1:6">
      <c r="A26" s="4"/>
      <c r="B26" s="4"/>
      <c r="C26" s="4" t="s">
        <v>453</v>
      </c>
      <c r="D26" s="1">
        <v>4</v>
      </c>
      <c r="E26" s="1">
        <v>0.12</v>
      </c>
      <c r="F26" s="1">
        <f t="shared" si="0"/>
        <v>10</v>
      </c>
    </row>
    <row r="27" spans="1:6">
      <c r="A27" s="4"/>
      <c r="B27" s="4" t="s">
        <v>62</v>
      </c>
      <c r="C27" s="4" t="s">
        <v>452</v>
      </c>
      <c r="D27" s="1">
        <v>1</v>
      </c>
      <c r="E27" s="1">
        <v>0.06</v>
      </c>
      <c r="F27" s="1">
        <f t="shared" si="0"/>
        <v>4</v>
      </c>
    </row>
    <row r="28" spans="1:6">
      <c r="A28" s="4"/>
      <c r="B28" s="4"/>
      <c r="C28" s="4" t="s">
        <v>453</v>
      </c>
      <c r="D28" s="1">
        <v>3</v>
      </c>
      <c r="E28" s="1">
        <v>0.1</v>
      </c>
      <c r="F28" s="1">
        <f t="shared" si="0"/>
        <v>8</v>
      </c>
    </row>
    <row r="29" spans="1:6">
      <c r="A29" s="4"/>
      <c r="B29" s="4" t="s">
        <v>460</v>
      </c>
      <c r="C29" s="4" t="s">
        <v>452</v>
      </c>
      <c r="D29" s="1">
        <v>1</v>
      </c>
      <c r="E29" s="1">
        <v>0.04</v>
      </c>
      <c r="F29" s="1">
        <f t="shared" si="0"/>
        <v>3</v>
      </c>
    </row>
    <row r="30" spans="1:6">
      <c r="A30" s="4"/>
      <c r="B30" s="4"/>
      <c r="C30" s="4" t="s">
        <v>453</v>
      </c>
      <c r="D30" s="1">
        <v>3</v>
      </c>
      <c r="E30" s="1">
        <v>0.06</v>
      </c>
      <c r="F30" s="1">
        <f t="shared" si="0"/>
        <v>6</v>
      </c>
    </row>
    <row r="31" spans="1:6">
      <c r="A31" s="4"/>
      <c r="B31" s="4" t="s">
        <v>70</v>
      </c>
      <c r="C31" s="4" t="s">
        <v>452</v>
      </c>
      <c r="D31" s="1">
        <v>1</v>
      </c>
      <c r="E31" s="1">
        <v>0.02</v>
      </c>
      <c r="F31" s="1">
        <f t="shared" si="0"/>
        <v>2</v>
      </c>
    </row>
    <row r="32" spans="1:6">
      <c r="A32" s="4"/>
      <c r="B32" s="4"/>
      <c r="C32" s="4" t="s">
        <v>453</v>
      </c>
      <c r="D32" s="1">
        <v>3</v>
      </c>
      <c r="E32" s="1">
        <v>0.04</v>
      </c>
      <c r="F32" s="1">
        <f t="shared" si="0"/>
        <v>5</v>
      </c>
    </row>
    <row r="33" spans="1:6">
      <c r="A33" s="4"/>
      <c r="B33" s="4" t="s">
        <v>111</v>
      </c>
      <c r="C33" s="4" t="s">
        <v>452</v>
      </c>
      <c r="D33" s="1">
        <v>5</v>
      </c>
      <c r="E33" s="1">
        <v>0.1</v>
      </c>
      <c r="F33" s="1">
        <f t="shared" si="0"/>
        <v>10</v>
      </c>
    </row>
    <row r="34" spans="1:6">
      <c r="A34" s="4"/>
      <c r="B34" s="4"/>
      <c r="C34" s="4" t="s">
        <v>453</v>
      </c>
      <c r="D34" s="1">
        <v>15</v>
      </c>
      <c r="E34" s="1">
        <v>0.2</v>
      </c>
      <c r="F34" s="1">
        <f t="shared" si="0"/>
        <v>25</v>
      </c>
    </row>
    <row r="35" spans="1:6">
      <c r="A35" s="4"/>
      <c r="B35" s="4" t="s">
        <v>110</v>
      </c>
      <c r="C35" s="4" t="s">
        <v>452</v>
      </c>
      <c r="D35" s="1">
        <v>3</v>
      </c>
      <c r="E35" s="1">
        <v>0.06</v>
      </c>
      <c r="F35" s="1">
        <f t="shared" si="0"/>
        <v>6</v>
      </c>
    </row>
    <row r="36" spans="1:6">
      <c r="A36" s="4"/>
      <c r="B36" s="4"/>
      <c r="C36" s="4" t="s">
        <v>453</v>
      </c>
      <c r="D36" s="1">
        <v>8</v>
      </c>
      <c r="E36" s="1">
        <v>0.12</v>
      </c>
      <c r="F36" s="1">
        <f t="shared" si="0"/>
        <v>14</v>
      </c>
    </row>
    <row r="37" spans="1:6">
      <c r="A37" s="4" t="s">
        <v>461</v>
      </c>
      <c r="B37" s="15" t="s">
        <v>451</v>
      </c>
      <c r="C37" s="4" t="s">
        <v>452</v>
      </c>
      <c r="D37" s="1">
        <v>6</v>
      </c>
      <c r="E37" s="1">
        <v>0.16</v>
      </c>
      <c r="F37" s="1">
        <f t="shared" si="0"/>
        <v>14</v>
      </c>
    </row>
    <row r="38" spans="1:6">
      <c r="A38" s="4"/>
      <c r="B38" s="15"/>
      <c r="C38" s="4" t="s">
        <v>453</v>
      </c>
      <c r="D38" s="1">
        <v>15</v>
      </c>
      <c r="E38" s="1">
        <v>0.3</v>
      </c>
      <c r="F38" s="1">
        <f t="shared" si="0"/>
        <v>30</v>
      </c>
    </row>
    <row r="39" spans="1:6">
      <c r="A39" s="4"/>
      <c r="B39" s="4" t="s">
        <v>454</v>
      </c>
      <c r="C39" s="4" t="s">
        <v>452</v>
      </c>
      <c r="D39" s="1">
        <v>1</v>
      </c>
      <c r="E39" s="1">
        <v>0.06</v>
      </c>
      <c r="F39" s="1">
        <f t="shared" si="0"/>
        <v>4</v>
      </c>
    </row>
    <row r="40" spans="1:6">
      <c r="A40" s="4"/>
      <c r="B40" s="4"/>
      <c r="C40" s="4" t="s">
        <v>453</v>
      </c>
      <c r="D40" s="1">
        <v>4</v>
      </c>
      <c r="E40" s="1">
        <v>0.12</v>
      </c>
      <c r="F40" s="1">
        <f t="shared" si="0"/>
        <v>10</v>
      </c>
    </row>
    <row r="41" spans="1:6">
      <c r="A41" s="4"/>
      <c r="B41" s="4" t="s">
        <v>455</v>
      </c>
      <c r="C41" s="4" t="s">
        <v>452</v>
      </c>
      <c r="D41" s="1">
        <v>1</v>
      </c>
      <c r="E41" s="1">
        <v>0.04</v>
      </c>
      <c r="F41" s="1">
        <f t="shared" si="0"/>
        <v>3</v>
      </c>
    </row>
    <row r="42" spans="1:6">
      <c r="A42" s="4"/>
      <c r="B42" s="4"/>
      <c r="C42" s="4" t="s">
        <v>453</v>
      </c>
      <c r="D42" s="1">
        <v>3</v>
      </c>
      <c r="E42" s="1">
        <v>0.06</v>
      </c>
      <c r="F42" s="1">
        <f t="shared" ref="F42:F64" si="1">D42+E42*$D$7</f>
        <v>6</v>
      </c>
    </row>
    <row r="43" spans="1:6">
      <c r="A43" s="4"/>
      <c r="B43" s="4" t="s">
        <v>456</v>
      </c>
      <c r="C43" s="4" t="s">
        <v>452</v>
      </c>
      <c r="D43" s="1">
        <v>1</v>
      </c>
      <c r="E43" s="1">
        <v>0.06</v>
      </c>
      <c r="F43" s="1">
        <f t="shared" si="1"/>
        <v>4</v>
      </c>
    </row>
    <row r="44" spans="1:6">
      <c r="A44" s="4"/>
      <c r="B44" s="4"/>
      <c r="C44" s="4" t="s">
        <v>453</v>
      </c>
      <c r="D44" s="1">
        <v>3</v>
      </c>
      <c r="E44" s="1">
        <v>0.1</v>
      </c>
      <c r="F44" s="1">
        <f t="shared" si="1"/>
        <v>8</v>
      </c>
    </row>
    <row r="45" spans="1:6">
      <c r="A45" s="4"/>
      <c r="B45" s="4" t="s">
        <v>457</v>
      </c>
      <c r="C45" s="4" t="s">
        <v>452</v>
      </c>
      <c r="D45" s="1">
        <v>1</v>
      </c>
      <c r="E45" s="1">
        <v>0.06</v>
      </c>
      <c r="F45" s="1">
        <f t="shared" si="1"/>
        <v>4</v>
      </c>
    </row>
    <row r="46" spans="1:6">
      <c r="A46" s="4"/>
      <c r="B46" s="4"/>
      <c r="C46" s="4" t="s">
        <v>453</v>
      </c>
      <c r="D46" s="1">
        <v>4</v>
      </c>
      <c r="E46" s="1">
        <v>0.12</v>
      </c>
      <c r="F46" s="1">
        <f t="shared" si="1"/>
        <v>10</v>
      </c>
    </row>
    <row r="47" spans="1:6">
      <c r="A47" s="4"/>
      <c r="B47" s="4" t="s">
        <v>46</v>
      </c>
      <c r="C47" s="4" t="s">
        <v>452</v>
      </c>
      <c r="D47" s="1">
        <v>3</v>
      </c>
      <c r="E47" s="1">
        <v>0.06</v>
      </c>
      <c r="F47" s="1">
        <f t="shared" si="1"/>
        <v>6</v>
      </c>
    </row>
    <row r="48" spans="1:6">
      <c r="A48" s="4"/>
      <c r="B48" s="4"/>
      <c r="C48" s="4" t="s">
        <v>453</v>
      </c>
      <c r="D48" s="1">
        <v>8</v>
      </c>
      <c r="E48" s="1">
        <v>0.12</v>
      </c>
      <c r="F48" s="1">
        <f t="shared" si="1"/>
        <v>14</v>
      </c>
    </row>
    <row r="49" spans="1:6">
      <c r="A49" s="4"/>
      <c r="B49" s="4" t="s">
        <v>458</v>
      </c>
      <c r="C49" s="4" t="s">
        <v>452</v>
      </c>
      <c r="D49" s="1">
        <v>1</v>
      </c>
      <c r="E49" s="1">
        <v>0.1</v>
      </c>
      <c r="F49" s="1">
        <f t="shared" si="1"/>
        <v>6</v>
      </c>
    </row>
    <row r="50" spans="1:6">
      <c r="A50" s="4"/>
      <c r="B50" s="4"/>
      <c r="C50" s="4" t="s">
        <v>453</v>
      </c>
      <c r="D50" s="1">
        <v>10</v>
      </c>
      <c r="E50" s="1">
        <v>0.2</v>
      </c>
      <c r="F50" s="1">
        <f t="shared" si="1"/>
        <v>20</v>
      </c>
    </row>
    <row r="51" spans="1:6">
      <c r="A51" s="4"/>
      <c r="B51" s="4" t="s">
        <v>459</v>
      </c>
      <c r="C51" s="4" t="s">
        <v>452</v>
      </c>
      <c r="D51" s="1">
        <v>1</v>
      </c>
      <c r="E51" s="1">
        <v>0.04</v>
      </c>
      <c r="F51" s="1">
        <f t="shared" si="1"/>
        <v>3</v>
      </c>
    </row>
    <row r="52" spans="1:6">
      <c r="A52" s="4"/>
      <c r="B52" s="4"/>
      <c r="C52" s="4" t="s">
        <v>453</v>
      </c>
      <c r="D52" s="1">
        <v>3</v>
      </c>
      <c r="E52" s="1">
        <v>0.06</v>
      </c>
      <c r="F52" s="1">
        <f t="shared" si="1"/>
        <v>6</v>
      </c>
    </row>
    <row r="53" spans="1:6">
      <c r="A53" s="4"/>
      <c r="B53" s="4" t="s">
        <v>112</v>
      </c>
      <c r="C53" s="4" t="s">
        <v>452</v>
      </c>
      <c r="D53" s="1">
        <v>1</v>
      </c>
      <c r="E53" s="1">
        <v>0.06</v>
      </c>
      <c r="F53" s="1">
        <f t="shared" si="1"/>
        <v>4</v>
      </c>
    </row>
    <row r="54" spans="1:6">
      <c r="A54" s="4"/>
      <c r="B54" s="4"/>
      <c r="C54" s="4" t="s">
        <v>453</v>
      </c>
      <c r="D54" s="1">
        <v>4</v>
      </c>
      <c r="E54" s="1">
        <v>0.12</v>
      </c>
      <c r="F54" s="1">
        <f t="shared" si="1"/>
        <v>10</v>
      </c>
    </row>
    <row r="55" spans="1:6">
      <c r="A55" s="4"/>
      <c r="B55" s="4" t="s">
        <v>62</v>
      </c>
      <c r="C55" s="4" t="s">
        <v>452</v>
      </c>
      <c r="D55" s="1">
        <v>1</v>
      </c>
      <c r="E55" s="1">
        <v>0.06</v>
      </c>
      <c r="F55" s="1">
        <f t="shared" si="1"/>
        <v>4</v>
      </c>
    </row>
    <row r="56" spans="1:6">
      <c r="A56" s="4"/>
      <c r="B56" s="4"/>
      <c r="C56" s="4" t="s">
        <v>453</v>
      </c>
      <c r="D56" s="1">
        <v>3</v>
      </c>
      <c r="E56" s="1">
        <v>0.1</v>
      </c>
      <c r="F56" s="1">
        <f t="shared" si="1"/>
        <v>8</v>
      </c>
    </row>
    <row r="57" spans="1:6">
      <c r="A57" s="4"/>
      <c r="B57" s="4" t="s">
        <v>460</v>
      </c>
      <c r="C57" s="4" t="s">
        <v>452</v>
      </c>
      <c r="D57" s="1">
        <v>1</v>
      </c>
      <c r="E57" s="1">
        <v>0.04</v>
      </c>
      <c r="F57" s="1">
        <f t="shared" si="1"/>
        <v>3</v>
      </c>
    </row>
    <row r="58" spans="1:6">
      <c r="A58" s="4"/>
      <c r="B58" s="4"/>
      <c r="C58" s="4" t="s">
        <v>453</v>
      </c>
      <c r="D58" s="1">
        <v>3</v>
      </c>
      <c r="E58" s="1">
        <v>0.06</v>
      </c>
      <c r="F58" s="1">
        <f t="shared" si="1"/>
        <v>6</v>
      </c>
    </row>
    <row r="59" spans="1:6">
      <c r="A59" s="4"/>
      <c r="B59" s="4" t="s">
        <v>70</v>
      </c>
      <c r="C59" s="4" t="s">
        <v>452</v>
      </c>
      <c r="D59" s="1">
        <v>1</v>
      </c>
      <c r="E59" s="1">
        <v>0.02</v>
      </c>
      <c r="F59" s="1">
        <f t="shared" si="1"/>
        <v>2</v>
      </c>
    </row>
    <row r="60" spans="1:6">
      <c r="A60" s="4"/>
      <c r="B60" s="4"/>
      <c r="C60" s="4" t="s">
        <v>453</v>
      </c>
      <c r="D60" s="1">
        <v>3</v>
      </c>
      <c r="E60" s="1">
        <v>0.04</v>
      </c>
      <c r="F60" s="1">
        <f t="shared" si="1"/>
        <v>5</v>
      </c>
    </row>
    <row r="61" spans="1:6">
      <c r="A61" s="4"/>
      <c r="B61" s="4" t="s">
        <v>111</v>
      </c>
      <c r="C61" s="4" t="s">
        <v>452</v>
      </c>
      <c r="D61" s="1">
        <v>5</v>
      </c>
      <c r="E61" s="1">
        <v>0.1</v>
      </c>
      <c r="F61" s="1">
        <f t="shared" si="1"/>
        <v>10</v>
      </c>
    </row>
    <row r="62" spans="1:6">
      <c r="A62" s="4"/>
      <c r="B62" s="4"/>
      <c r="C62" s="4" t="s">
        <v>453</v>
      </c>
      <c r="D62" s="1">
        <v>15</v>
      </c>
      <c r="E62" s="1">
        <v>0.2</v>
      </c>
      <c r="F62" s="1">
        <f t="shared" si="1"/>
        <v>25</v>
      </c>
    </row>
    <row r="63" spans="1:6">
      <c r="A63" s="4"/>
      <c r="B63" s="4" t="s">
        <v>110</v>
      </c>
      <c r="C63" s="4" t="s">
        <v>452</v>
      </c>
      <c r="D63" s="1">
        <v>3</v>
      </c>
      <c r="E63" s="1">
        <v>0.06</v>
      </c>
      <c r="F63" s="1">
        <f t="shared" si="1"/>
        <v>6</v>
      </c>
    </row>
    <row r="64" spans="1:6">
      <c r="A64" s="4"/>
      <c r="B64" s="4"/>
      <c r="C64" s="4" t="s">
        <v>453</v>
      </c>
      <c r="D64" s="1">
        <v>8</v>
      </c>
      <c r="E64" s="1">
        <v>0.12</v>
      </c>
      <c r="F64" s="1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sheetData>
    <row r="1" spans="1:5">
      <c r="A1" t="s">
        <v>462</v>
      </c>
      <c r="B1" t="s">
        <v>463</v>
      </c>
      <c r="C1" t="s">
        <v>464</v>
      </c>
      <c r="D1" t="s">
        <v>381</v>
      </c>
      <c r="E1" t="s">
        <v>465</v>
      </c>
    </row>
    <row r="2" spans="1:5">
      <c r="A2">
        <v>1</v>
      </c>
      <c r="B2" t="s">
        <v>466</v>
      </c>
      <c r="C2" t="s">
        <v>467</v>
      </c>
      <c r="D2" t="s">
        <v>468</v>
      </c>
      <c r="E2" t="s">
        <v>469</v>
      </c>
    </row>
    <row r="3" spans="1:5">
      <c r="A3">
        <v>2</v>
      </c>
      <c r="B3" t="s">
        <v>470</v>
      </c>
      <c r="C3" t="s">
        <v>471</v>
      </c>
      <c r="D3" t="s">
        <v>468</v>
      </c>
      <c r="E3" t="s">
        <v>469</v>
      </c>
    </row>
    <row r="4" spans="1:5">
      <c r="A4">
        <v>3</v>
      </c>
      <c r="B4" t="s">
        <v>472</v>
      </c>
      <c r="C4" t="s">
        <v>473</v>
      </c>
      <c r="D4" t="s">
        <v>474</v>
      </c>
      <c r="E4" t="s">
        <v>469</v>
      </c>
    </row>
    <row r="5" spans="1:5">
      <c r="A5">
        <v>4</v>
      </c>
      <c r="B5" t="s">
        <v>475</v>
      </c>
      <c r="C5" t="s">
        <v>476</v>
      </c>
      <c r="D5" t="s">
        <v>468</v>
      </c>
      <c r="E5" t="s">
        <v>469</v>
      </c>
    </row>
    <row r="6" spans="1:5">
      <c r="A6">
        <v>5</v>
      </c>
      <c r="B6" t="s">
        <v>477</v>
      </c>
      <c r="C6" t="s">
        <v>478</v>
      </c>
      <c r="D6" t="s">
        <v>479</v>
      </c>
      <c r="E6" t="s">
        <v>469</v>
      </c>
    </row>
    <row r="9" spans="1:5">
      <c r="A9" t="s">
        <v>462</v>
      </c>
      <c r="B9" t="s">
        <v>463</v>
      </c>
      <c r="C9" t="s">
        <v>464</v>
      </c>
      <c r="D9" t="s">
        <v>381</v>
      </c>
      <c r="E9" t="s">
        <v>465</v>
      </c>
    </row>
    <row r="10" spans="1:5">
      <c r="A10">
        <v>6</v>
      </c>
      <c r="B10" t="s">
        <v>480</v>
      </c>
      <c r="C10" t="s">
        <v>481</v>
      </c>
      <c r="D10" t="s">
        <v>468</v>
      </c>
      <c r="E10" t="s">
        <v>482</v>
      </c>
    </row>
    <row r="11" spans="1:5">
      <c r="A11">
        <v>7</v>
      </c>
      <c r="B11" t="s">
        <v>483</v>
      </c>
      <c r="C11" t="s">
        <v>484</v>
      </c>
      <c r="D11" t="s">
        <v>468</v>
      </c>
      <c r="E11" t="s">
        <v>482</v>
      </c>
    </row>
    <row r="12" spans="1:5">
      <c r="A12">
        <v>8</v>
      </c>
      <c r="B12" t="s">
        <v>485</v>
      </c>
      <c r="C12" t="s">
        <v>486</v>
      </c>
      <c r="D12" t="s">
        <v>468</v>
      </c>
      <c r="E12" t="s">
        <v>487</v>
      </c>
    </row>
    <row r="13" spans="1:5">
      <c r="A13">
        <v>9</v>
      </c>
      <c r="B13" t="s">
        <v>488</v>
      </c>
      <c r="C13" t="s">
        <v>489</v>
      </c>
      <c r="D13" t="s">
        <v>468</v>
      </c>
      <c r="E13" t="s">
        <v>490</v>
      </c>
    </row>
    <row r="14" spans="1:5">
      <c r="A14">
        <v>10</v>
      </c>
      <c r="B14" t="s">
        <v>491</v>
      </c>
      <c r="C14" t="s">
        <v>492</v>
      </c>
      <c r="D14" t="s">
        <v>479</v>
      </c>
      <c r="E14" t="s">
        <v>493</v>
      </c>
    </row>
    <row r="15" spans="1:5">
      <c r="A15">
        <v>11</v>
      </c>
      <c r="B15" t="s">
        <v>494</v>
      </c>
      <c r="C15" t="s">
        <v>495</v>
      </c>
      <c r="D15" t="s">
        <v>474</v>
      </c>
      <c r="E15" t="s">
        <v>487</v>
      </c>
    </row>
    <row r="17" spans="1:5">
      <c r="A17" t="s">
        <v>462</v>
      </c>
      <c r="B17" t="s">
        <v>463</v>
      </c>
      <c r="C17" t="s">
        <v>464</v>
      </c>
      <c r="D17" t="s">
        <v>381</v>
      </c>
      <c r="E17" t="s">
        <v>465</v>
      </c>
    </row>
    <row r="18" spans="1:5">
      <c r="A18">
        <v>12</v>
      </c>
      <c r="B18" t="s">
        <v>496</v>
      </c>
      <c r="C18" t="s">
        <v>497</v>
      </c>
      <c r="D18" t="s">
        <v>468</v>
      </c>
      <c r="E18" t="s">
        <v>498</v>
      </c>
    </row>
    <row r="19" spans="1:5">
      <c r="A19">
        <v>13</v>
      </c>
      <c r="B19" t="s">
        <v>499</v>
      </c>
      <c r="C19" t="s">
        <v>500</v>
      </c>
      <c r="D19" t="s">
        <v>468</v>
      </c>
      <c r="E19" t="s">
        <v>501</v>
      </c>
    </row>
    <row r="20" spans="1:5">
      <c r="A20">
        <v>14</v>
      </c>
      <c r="B20" t="s">
        <v>502</v>
      </c>
      <c r="C20" t="s">
        <v>503</v>
      </c>
      <c r="D20" t="s">
        <v>468</v>
      </c>
      <c r="E20" t="s">
        <v>504</v>
      </c>
    </row>
    <row r="21" spans="1:5">
      <c r="A21">
        <v>15</v>
      </c>
      <c r="B21" t="s">
        <v>505</v>
      </c>
      <c r="C21" t="s">
        <v>506</v>
      </c>
      <c r="D21" t="s">
        <v>468</v>
      </c>
      <c r="E21" t="s">
        <v>507</v>
      </c>
    </row>
    <row r="22" spans="1:5">
      <c r="A22">
        <v>16</v>
      </c>
      <c r="B22" t="s">
        <v>508</v>
      </c>
      <c r="C22" t="s">
        <v>509</v>
      </c>
      <c r="D22" t="s">
        <v>479</v>
      </c>
      <c r="E22" t="s">
        <v>510</v>
      </c>
    </row>
    <row r="23" spans="1:5">
      <c r="A23">
        <v>17</v>
      </c>
      <c r="B23" t="s">
        <v>110</v>
      </c>
      <c r="C23" t="s">
        <v>511</v>
      </c>
      <c r="D23" t="s">
        <v>479</v>
      </c>
      <c r="E23" t="s">
        <v>512</v>
      </c>
    </row>
    <row r="25" spans="1:5">
      <c r="A25" t="s">
        <v>462</v>
      </c>
      <c r="B25" t="s">
        <v>463</v>
      </c>
      <c r="C25" t="s">
        <v>464</v>
      </c>
      <c r="D25" t="s">
        <v>381</v>
      </c>
      <c r="E25" t="s">
        <v>465</v>
      </c>
    </row>
    <row r="26" spans="1:5">
      <c r="A26">
        <v>18</v>
      </c>
      <c r="B26" t="s">
        <v>513</v>
      </c>
      <c r="C26" t="s">
        <v>514</v>
      </c>
      <c r="D26" t="s">
        <v>468</v>
      </c>
      <c r="E26" t="s">
        <v>515</v>
      </c>
    </row>
    <row r="27" spans="1:5">
      <c r="A27">
        <v>19</v>
      </c>
      <c r="B27" t="s">
        <v>516</v>
      </c>
      <c r="C27" t="s">
        <v>517</v>
      </c>
      <c r="D27" t="s">
        <v>468</v>
      </c>
      <c r="E27" t="s">
        <v>518</v>
      </c>
    </row>
    <row r="28" spans="1:5">
      <c r="A28">
        <v>20</v>
      </c>
      <c r="B28" t="s">
        <v>519</v>
      </c>
      <c r="C28" t="s">
        <v>520</v>
      </c>
      <c r="D28" t="s">
        <v>474</v>
      </c>
      <c r="E28" t="s">
        <v>469</v>
      </c>
    </row>
    <row r="29" spans="1:5">
      <c r="A29">
        <v>21</v>
      </c>
      <c r="B29" t="s">
        <v>521</v>
      </c>
      <c r="C29" t="s">
        <v>522</v>
      </c>
      <c r="D29" t="s">
        <v>468</v>
      </c>
      <c r="E29" t="s">
        <v>515</v>
      </c>
    </row>
    <row r="30" spans="1:5">
      <c r="A30">
        <v>22</v>
      </c>
      <c r="B30" t="s">
        <v>523</v>
      </c>
      <c r="C30" t="s">
        <v>524</v>
      </c>
      <c r="D30" t="s">
        <v>479</v>
      </c>
      <c r="E30" t="s">
        <v>518</v>
      </c>
    </row>
    <row r="32" spans="1:5">
      <c r="A32" t="s">
        <v>462</v>
      </c>
      <c r="B32" t="s">
        <v>463</v>
      </c>
      <c r="C32" t="s">
        <v>464</v>
      </c>
      <c r="D32" t="s">
        <v>381</v>
      </c>
      <c r="E32" t="s">
        <v>465</v>
      </c>
    </row>
    <row r="33" spans="1:6">
      <c r="A33">
        <v>23</v>
      </c>
      <c r="B33" t="s">
        <v>525</v>
      </c>
      <c r="C33" t="s">
        <v>526</v>
      </c>
      <c r="D33" t="s">
        <v>468</v>
      </c>
      <c r="E33" t="s">
        <v>527</v>
      </c>
    </row>
    <row r="34" spans="1:6">
      <c r="A34">
        <v>24</v>
      </c>
      <c r="B34" t="s">
        <v>528</v>
      </c>
      <c r="C34" t="s">
        <v>529</v>
      </c>
      <c r="D34" t="s">
        <v>468</v>
      </c>
      <c r="E34" t="s">
        <v>530</v>
      </c>
    </row>
    <row r="35" spans="1:6">
      <c r="A35">
        <v>25</v>
      </c>
      <c r="B35" t="s">
        <v>531</v>
      </c>
      <c r="C35" t="s">
        <v>532</v>
      </c>
      <c r="D35" t="s">
        <v>468</v>
      </c>
      <c r="E35" t="s">
        <v>533</v>
      </c>
    </row>
    <row r="36" spans="1:6">
      <c r="A36">
        <v>26</v>
      </c>
      <c r="B36" t="s">
        <v>534</v>
      </c>
      <c r="C36" t="s">
        <v>535</v>
      </c>
      <c r="D36" t="s">
        <v>468</v>
      </c>
      <c r="E36" t="s">
        <v>533</v>
      </c>
    </row>
    <row r="37" spans="1:6">
      <c r="A37">
        <v>27</v>
      </c>
      <c r="B37" t="s">
        <v>536</v>
      </c>
      <c r="C37" t="s">
        <v>537</v>
      </c>
      <c r="D37" t="s">
        <v>479</v>
      </c>
      <c r="E37" t="s">
        <v>533</v>
      </c>
    </row>
    <row r="39" spans="1:6">
      <c r="A39" t="s">
        <v>462</v>
      </c>
      <c r="B39" t="s">
        <v>463</v>
      </c>
      <c r="C39" t="s">
        <v>464</v>
      </c>
      <c r="D39" t="s">
        <v>381</v>
      </c>
      <c r="E39" t="s">
        <v>465</v>
      </c>
    </row>
    <row r="40" spans="1:6">
      <c r="A40">
        <v>28</v>
      </c>
      <c r="B40" t="s">
        <v>538</v>
      </c>
      <c r="C40" t="s">
        <v>539</v>
      </c>
      <c r="D40" t="s">
        <v>468</v>
      </c>
      <c r="E40" t="s">
        <v>540</v>
      </c>
    </row>
    <row r="41" spans="1:6">
      <c r="A41">
        <v>29</v>
      </c>
      <c r="B41" t="s">
        <v>541</v>
      </c>
      <c r="C41" t="s">
        <v>542</v>
      </c>
      <c r="D41" t="s">
        <v>468</v>
      </c>
      <c r="E41" t="s">
        <v>543</v>
      </c>
    </row>
    <row r="42" spans="1:6">
      <c r="A42">
        <v>30</v>
      </c>
      <c r="B42" t="s">
        <v>544</v>
      </c>
      <c r="C42" t="s">
        <v>545</v>
      </c>
      <c r="D42" t="s">
        <v>479</v>
      </c>
      <c r="E42" t="s">
        <v>543</v>
      </c>
    </row>
    <row r="44" spans="1:6">
      <c r="A44" t="s">
        <v>462</v>
      </c>
      <c r="B44" t="s">
        <v>463</v>
      </c>
      <c r="C44" t="s">
        <v>546</v>
      </c>
      <c r="D44" t="s">
        <v>464</v>
      </c>
      <c r="E44" t="s">
        <v>381</v>
      </c>
      <c r="F44" t="s">
        <v>465</v>
      </c>
    </row>
    <row r="45" spans="1:6">
      <c r="A45">
        <v>1</v>
      </c>
      <c r="B45" t="s">
        <v>547</v>
      </c>
      <c r="C45" t="s">
        <v>548</v>
      </c>
      <c r="D45" t="s">
        <v>549</v>
      </c>
      <c r="E45" t="s">
        <v>479</v>
      </c>
      <c r="F45" t="s">
        <v>469</v>
      </c>
    </row>
    <row r="46" spans="1:6">
      <c r="A46">
        <v>2</v>
      </c>
      <c r="B46" t="s">
        <v>550</v>
      </c>
      <c r="C46" t="s">
        <v>551</v>
      </c>
      <c r="D46" t="s">
        <v>552</v>
      </c>
      <c r="E46" t="s">
        <v>479</v>
      </c>
      <c r="F46" t="s">
        <v>469</v>
      </c>
    </row>
    <row r="47" spans="1:6">
      <c r="A47">
        <v>3</v>
      </c>
      <c r="B47" t="s">
        <v>553</v>
      </c>
      <c r="C47" t="s">
        <v>554</v>
      </c>
      <c r="D47" t="s">
        <v>555</v>
      </c>
      <c r="E47" t="s">
        <v>479</v>
      </c>
      <c r="F47" t="s">
        <v>556</v>
      </c>
    </row>
    <row r="48" spans="1:6">
      <c r="A48">
        <v>4</v>
      </c>
      <c r="B48" t="s">
        <v>557</v>
      </c>
      <c r="C48" t="s">
        <v>558</v>
      </c>
      <c r="D48" t="s">
        <v>559</v>
      </c>
      <c r="E48" t="s">
        <v>468</v>
      </c>
      <c r="F48" t="s">
        <v>507</v>
      </c>
    </row>
    <row r="49" spans="1:6">
      <c r="A49">
        <v>5</v>
      </c>
      <c r="B49" t="s">
        <v>560</v>
      </c>
      <c r="C49" t="s">
        <v>561</v>
      </c>
      <c r="D49" t="s">
        <v>562</v>
      </c>
      <c r="E49" t="s">
        <v>474</v>
      </c>
      <c r="F49" t="s">
        <v>563</v>
      </c>
    </row>
    <row r="51" spans="1:6">
      <c r="A51" t="s">
        <v>462</v>
      </c>
      <c r="B51" t="s">
        <v>463</v>
      </c>
      <c r="C51" t="s">
        <v>546</v>
      </c>
      <c r="D51" t="s">
        <v>464</v>
      </c>
      <c r="E51" t="s">
        <v>381</v>
      </c>
      <c r="F51" t="s">
        <v>465</v>
      </c>
    </row>
    <row r="52" spans="1:6">
      <c r="A52">
        <v>6</v>
      </c>
      <c r="B52" t="s">
        <v>564</v>
      </c>
      <c r="C52" t="s">
        <v>565</v>
      </c>
      <c r="D52" t="s">
        <v>566</v>
      </c>
      <c r="E52" t="s">
        <v>468</v>
      </c>
      <c r="F52" t="s">
        <v>510</v>
      </c>
    </row>
    <row r="53" spans="1:6">
      <c r="A53">
        <v>7</v>
      </c>
      <c r="B53" t="s">
        <v>567</v>
      </c>
      <c r="C53" t="s">
        <v>367</v>
      </c>
      <c r="D53" t="s">
        <v>568</v>
      </c>
      <c r="E53" t="s">
        <v>479</v>
      </c>
      <c r="F53" t="s">
        <v>569</v>
      </c>
    </row>
    <row r="54" spans="1:6">
      <c r="A54">
        <v>8</v>
      </c>
      <c r="B54" t="s">
        <v>570</v>
      </c>
      <c r="C54" t="s">
        <v>368</v>
      </c>
      <c r="D54" t="s">
        <v>571</v>
      </c>
      <c r="E54" t="s">
        <v>468</v>
      </c>
      <c r="F54" t="s">
        <v>501</v>
      </c>
    </row>
    <row r="55" spans="1:6">
      <c r="A55">
        <v>9</v>
      </c>
      <c r="B55" t="s">
        <v>572</v>
      </c>
      <c r="C55" t="s">
        <v>369</v>
      </c>
      <c r="D55" t="s">
        <v>573</v>
      </c>
      <c r="E55" t="s">
        <v>468</v>
      </c>
      <c r="F55" t="s">
        <v>482</v>
      </c>
    </row>
    <row r="56" spans="1:6">
      <c r="A56">
        <v>10</v>
      </c>
      <c r="B56" t="s">
        <v>574</v>
      </c>
      <c r="C56" t="s">
        <v>565</v>
      </c>
      <c r="D56" t="s">
        <v>575</v>
      </c>
      <c r="E56" t="s">
        <v>479</v>
      </c>
      <c r="F56" t="s">
        <v>487</v>
      </c>
    </row>
    <row r="58" spans="1:6">
      <c r="A58" t="s">
        <v>462</v>
      </c>
      <c r="B58" t="s">
        <v>463</v>
      </c>
      <c r="C58" t="s">
        <v>546</v>
      </c>
      <c r="D58" t="s">
        <v>464</v>
      </c>
      <c r="E58" t="s">
        <v>381</v>
      </c>
      <c r="F58" t="s">
        <v>465</v>
      </c>
    </row>
    <row r="59" spans="1:6">
      <c r="A59">
        <v>11</v>
      </c>
      <c r="B59" t="s">
        <v>576</v>
      </c>
      <c r="C59" t="s">
        <v>372</v>
      </c>
      <c r="D59" t="s">
        <v>577</v>
      </c>
      <c r="E59" t="s">
        <v>468</v>
      </c>
      <c r="F59" t="s">
        <v>518</v>
      </c>
    </row>
    <row r="60" spans="1:6">
      <c r="A60">
        <v>12</v>
      </c>
      <c r="B60" t="s">
        <v>578</v>
      </c>
      <c r="C60" t="s">
        <v>373</v>
      </c>
      <c r="D60" t="s">
        <v>535</v>
      </c>
      <c r="E60" t="s">
        <v>468</v>
      </c>
      <c r="F60" t="s">
        <v>533</v>
      </c>
    </row>
    <row r="61" spans="1:6">
      <c r="A61">
        <v>13</v>
      </c>
      <c r="B61" t="s">
        <v>579</v>
      </c>
      <c r="C61" t="s">
        <v>371</v>
      </c>
      <c r="D61" t="s">
        <v>580</v>
      </c>
      <c r="E61" t="s">
        <v>468</v>
      </c>
      <c r="F61" t="s">
        <v>533</v>
      </c>
    </row>
    <row r="62" spans="1:6">
      <c r="A62">
        <v>14</v>
      </c>
      <c r="B62" t="s">
        <v>581</v>
      </c>
      <c r="C62" t="s">
        <v>582</v>
      </c>
      <c r="D62" t="s">
        <v>526</v>
      </c>
      <c r="E62" t="s">
        <v>468</v>
      </c>
      <c r="F62" t="s">
        <v>527</v>
      </c>
    </row>
    <row r="63" spans="1:6">
      <c r="A63">
        <v>15</v>
      </c>
      <c r="B63" t="s">
        <v>583</v>
      </c>
      <c r="C63" t="s">
        <v>372</v>
      </c>
      <c r="D63" t="s">
        <v>584</v>
      </c>
      <c r="E63" t="s">
        <v>474</v>
      </c>
      <c r="F63" t="s">
        <v>518</v>
      </c>
    </row>
    <row r="65" spans="1:6">
      <c r="A65" t="s">
        <v>462</v>
      </c>
      <c r="B65" t="s">
        <v>463</v>
      </c>
      <c r="C65" t="s">
        <v>546</v>
      </c>
      <c r="D65" t="s">
        <v>464</v>
      </c>
      <c r="E65" t="s">
        <v>381</v>
      </c>
      <c r="F65" t="s">
        <v>465</v>
      </c>
    </row>
    <row r="66" spans="1:6">
      <c r="A66">
        <v>16</v>
      </c>
      <c r="B66" t="s">
        <v>585</v>
      </c>
      <c r="C66" t="s">
        <v>375</v>
      </c>
      <c r="D66" t="s">
        <v>529</v>
      </c>
      <c r="E66" t="s">
        <v>468</v>
      </c>
      <c r="F66" t="s">
        <v>530</v>
      </c>
    </row>
    <row r="67" spans="1:6">
      <c r="A67">
        <v>17</v>
      </c>
      <c r="B67" t="s">
        <v>586</v>
      </c>
      <c r="C67" t="s">
        <v>377</v>
      </c>
      <c r="D67" t="s">
        <v>587</v>
      </c>
      <c r="E67" t="s">
        <v>479</v>
      </c>
      <c r="F67" t="s">
        <v>588</v>
      </c>
    </row>
    <row r="68" spans="1:6">
      <c r="A68">
        <v>18</v>
      </c>
      <c r="B68" t="s">
        <v>589</v>
      </c>
      <c r="C68" t="s">
        <v>590</v>
      </c>
      <c r="D68" t="s">
        <v>591</v>
      </c>
      <c r="E68" t="s">
        <v>479</v>
      </c>
      <c r="F68" t="s">
        <v>469</v>
      </c>
    </row>
    <row r="69" spans="1:6">
      <c r="A69">
        <v>19</v>
      </c>
      <c r="B69" t="s">
        <v>592</v>
      </c>
      <c r="C69" t="s">
        <v>593</v>
      </c>
      <c r="D69" t="s">
        <v>594</v>
      </c>
      <c r="E69" t="s">
        <v>468</v>
      </c>
      <c r="F69" t="s">
        <v>515</v>
      </c>
    </row>
    <row r="70" spans="1:6">
      <c r="A70">
        <v>20</v>
      </c>
      <c r="B70" t="s">
        <v>595</v>
      </c>
      <c r="C70" t="s">
        <v>376</v>
      </c>
      <c r="D70" t="s">
        <v>596</v>
      </c>
      <c r="E70" t="s">
        <v>479</v>
      </c>
      <c r="F70" t="s">
        <v>533</v>
      </c>
    </row>
    <row r="72" spans="1:6">
      <c r="A72" t="s">
        <v>462</v>
      </c>
      <c r="B72" t="s">
        <v>463</v>
      </c>
      <c r="C72" t="s">
        <v>546</v>
      </c>
      <c r="D72" t="s">
        <v>464</v>
      </c>
      <c r="E72" t="s">
        <v>381</v>
      </c>
      <c r="F72" t="s">
        <v>465</v>
      </c>
    </row>
    <row r="73" spans="1:6">
      <c r="A73">
        <v>26</v>
      </c>
      <c r="B73" t="s">
        <v>597</v>
      </c>
      <c r="C73" t="s">
        <v>598</v>
      </c>
      <c r="D73" t="s">
        <v>599</v>
      </c>
      <c r="E73" t="s">
        <v>468</v>
      </c>
      <c r="F73" t="s">
        <v>504</v>
      </c>
    </row>
    <row r="74" spans="1:6">
      <c r="A74">
        <v>27</v>
      </c>
      <c r="B74" t="s">
        <v>600</v>
      </c>
      <c r="C74" t="s">
        <v>601</v>
      </c>
      <c r="D74" t="s">
        <v>602</v>
      </c>
      <c r="E74" t="s">
        <v>479</v>
      </c>
      <c r="F74" t="s">
        <v>603</v>
      </c>
    </row>
    <row r="75" spans="1:6">
      <c r="A75">
        <v>28</v>
      </c>
      <c r="B75" t="s">
        <v>604</v>
      </c>
      <c r="C75" t="s">
        <v>605</v>
      </c>
      <c r="D75" t="s">
        <v>606</v>
      </c>
      <c r="E75" t="s">
        <v>479</v>
      </c>
      <c r="F75" t="s">
        <v>510</v>
      </c>
    </row>
    <row r="76" spans="1:6">
      <c r="A76">
        <v>29</v>
      </c>
      <c r="B76" t="s">
        <v>607</v>
      </c>
      <c r="C76" t="s">
        <v>608</v>
      </c>
      <c r="D76" t="s">
        <v>609</v>
      </c>
      <c r="E76" t="s">
        <v>479</v>
      </c>
      <c r="F76" t="s">
        <v>610</v>
      </c>
    </row>
    <row r="77" spans="1:6">
      <c r="A77">
        <v>30</v>
      </c>
      <c r="B77" t="s">
        <v>611</v>
      </c>
      <c r="C77" t="s">
        <v>608</v>
      </c>
      <c r="D77" t="s">
        <v>612</v>
      </c>
      <c r="E77" t="s">
        <v>468</v>
      </c>
      <c r="F77" t="s">
        <v>498</v>
      </c>
    </row>
    <row r="79" spans="1:6">
      <c r="A79" t="s">
        <v>462</v>
      </c>
      <c r="B79" t="s">
        <v>463</v>
      </c>
      <c r="C79" t="s">
        <v>464</v>
      </c>
      <c r="D79" t="s">
        <v>465</v>
      </c>
    </row>
    <row r="80" spans="1:6">
      <c r="A80">
        <v>1</v>
      </c>
      <c r="B80" t="s">
        <v>613</v>
      </c>
      <c r="C80" t="s">
        <v>614</v>
      </c>
      <c r="D80" t="s">
        <v>615</v>
      </c>
    </row>
    <row r="81" spans="1:4">
      <c r="A81">
        <v>2</v>
      </c>
      <c r="B81" t="s">
        <v>616</v>
      </c>
      <c r="C81" t="s">
        <v>617</v>
      </c>
      <c r="D81" t="s">
        <v>618</v>
      </c>
    </row>
    <row r="82" spans="1:4">
      <c r="A82">
        <v>3</v>
      </c>
      <c r="B82" t="s">
        <v>619</v>
      </c>
      <c r="C82" t="s">
        <v>620</v>
      </c>
      <c r="D82" t="s">
        <v>615</v>
      </c>
    </row>
    <row r="83" spans="1:4">
      <c r="A83">
        <v>4</v>
      </c>
      <c r="B83" t="s">
        <v>621</v>
      </c>
      <c r="C83" t="s">
        <v>622</v>
      </c>
      <c r="D83" t="s">
        <v>623</v>
      </c>
    </row>
    <row r="85" spans="1:4">
      <c r="A85" t="s">
        <v>462</v>
      </c>
      <c r="B85" t="s">
        <v>463</v>
      </c>
      <c r="C85" t="s">
        <v>464</v>
      </c>
      <c r="D85" t="s">
        <v>465</v>
      </c>
    </row>
    <row r="86" spans="1:4">
      <c r="A86">
        <v>5</v>
      </c>
      <c r="B86" t="s">
        <v>624</v>
      </c>
      <c r="C86" t="s">
        <v>625</v>
      </c>
      <c r="D86" t="s">
        <v>469</v>
      </c>
    </row>
    <row r="87" spans="1:4">
      <c r="A87">
        <v>6</v>
      </c>
      <c r="B87" t="s">
        <v>626</v>
      </c>
      <c r="C87" t="s">
        <v>627</v>
      </c>
      <c r="D87" t="s">
        <v>507</v>
      </c>
    </row>
    <row r="88" spans="1:4">
      <c r="A88">
        <v>7</v>
      </c>
      <c r="B88" t="s">
        <v>628</v>
      </c>
      <c r="C88" t="s">
        <v>629</v>
      </c>
      <c r="D88" t="s">
        <v>630</v>
      </c>
    </row>
    <row r="89" spans="1:4">
      <c r="A89">
        <v>8</v>
      </c>
      <c r="B89" t="s">
        <v>631</v>
      </c>
      <c r="C89" t="s">
        <v>632</v>
      </c>
      <c r="D89" t="s">
        <v>633</v>
      </c>
    </row>
    <row r="90" spans="1:4">
      <c r="A90">
        <v>9</v>
      </c>
      <c r="B90" t="s">
        <v>634</v>
      </c>
      <c r="C90" t="s">
        <v>635</v>
      </c>
      <c r="D90" t="s">
        <v>498</v>
      </c>
    </row>
    <row r="92" spans="1:4">
      <c r="A92" t="s">
        <v>462</v>
      </c>
      <c r="B92" t="s">
        <v>463</v>
      </c>
      <c r="C92" t="s">
        <v>464</v>
      </c>
      <c r="D92" t="s">
        <v>465</v>
      </c>
    </row>
    <row r="93" spans="1:4">
      <c r="A93">
        <v>10</v>
      </c>
      <c r="B93" t="s">
        <v>636</v>
      </c>
      <c r="C93" t="s">
        <v>637</v>
      </c>
      <c r="D93" t="s">
        <v>638</v>
      </c>
    </row>
    <row r="94" spans="1:4">
      <c r="A94">
        <v>11</v>
      </c>
      <c r="B94" t="s">
        <v>639</v>
      </c>
      <c r="C94" t="s">
        <v>640</v>
      </c>
      <c r="D94" t="s">
        <v>641</v>
      </c>
    </row>
    <row r="95" spans="1:4">
      <c r="A95">
        <v>12</v>
      </c>
      <c r="B95" t="s">
        <v>642</v>
      </c>
      <c r="C95" t="s">
        <v>643</v>
      </c>
      <c r="D95" t="s">
        <v>469</v>
      </c>
    </row>
    <row r="96" spans="1:4">
      <c r="A96">
        <v>13</v>
      </c>
      <c r="B96" t="s">
        <v>644</v>
      </c>
      <c r="C96" t="s">
        <v>645</v>
      </c>
      <c r="D96" t="s">
        <v>469</v>
      </c>
    </row>
    <row r="97" spans="1:4">
      <c r="A97">
        <v>14</v>
      </c>
      <c r="B97" t="s">
        <v>646</v>
      </c>
      <c r="C97" t="s">
        <v>647</v>
      </c>
      <c r="D97" t="s">
        <v>648</v>
      </c>
    </row>
    <row r="99" spans="1:4">
      <c r="A99" t="s">
        <v>462</v>
      </c>
      <c r="B99" t="s">
        <v>463</v>
      </c>
      <c r="C99" t="s">
        <v>464</v>
      </c>
      <c r="D99" t="s">
        <v>465</v>
      </c>
    </row>
    <row r="100" spans="1:4">
      <c r="A100">
        <v>15</v>
      </c>
      <c r="B100" t="s">
        <v>649</v>
      </c>
      <c r="C100" t="s">
        <v>650</v>
      </c>
      <c r="D100" t="s">
        <v>469</v>
      </c>
    </row>
    <row r="101" spans="1:4">
      <c r="A101">
        <v>16</v>
      </c>
      <c r="B101" t="s">
        <v>651</v>
      </c>
      <c r="C101" t="s">
        <v>652</v>
      </c>
      <c r="D101" t="s">
        <v>469</v>
      </c>
    </row>
    <row r="102" spans="1:4">
      <c r="A102">
        <v>17</v>
      </c>
      <c r="B102" t="s">
        <v>653</v>
      </c>
      <c r="C102" t="s">
        <v>654</v>
      </c>
      <c r="D102" t="s">
        <v>469</v>
      </c>
    </row>
    <row r="103" spans="1:4">
      <c r="A103">
        <v>18</v>
      </c>
      <c r="B103" t="s">
        <v>655</v>
      </c>
      <c r="C103" t="s">
        <v>656</v>
      </c>
      <c r="D103" t="s">
        <v>518</v>
      </c>
    </row>
    <row r="104" spans="1:4">
      <c r="A104">
        <v>19</v>
      </c>
      <c r="B104" t="s">
        <v>657</v>
      </c>
      <c r="C104" t="s">
        <v>658</v>
      </c>
      <c r="D104" t="s">
        <v>507</v>
      </c>
    </row>
    <row r="106" spans="1:4">
      <c r="A106" t="s">
        <v>462</v>
      </c>
      <c r="B106" t="s">
        <v>463</v>
      </c>
      <c r="C106" t="s">
        <v>464</v>
      </c>
      <c r="D106" t="s">
        <v>659</v>
      </c>
    </row>
    <row r="107" spans="1:4">
      <c r="A107">
        <v>20</v>
      </c>
      <c r="B107" t="s">
        <v>660</v>
      </c>
      <c r="C107" t="s">
        <v>661</v>
      </c>
      <c r="D107" t="s">
        <v>662</v>
      </c>
    </row>
    <row r="108" spans="1:4">
      <c r="A108">
        <v>21</v>
      </c>
      <c r="B108" t="s">
        <v>663</v>
      </c>
      <c r="C108" t="s">
        <v>664</v>
      </c>
      <c r="D108" t="s">
        <v>665</v>
      </c>
    </row>
    <row r="109" spans="1:4">
      <c r="A109">
        <v>22</v>
      </c>
      <c r="B109" t="s">
        <v>666</v>
      </c>
      <c r="C109" t="s">
        <v>667</v>
      </c>
      <c r="D109" t="s">
        <v>668</v>
      </c>
    </row>
    <row r="110" spans="1:4">
      <c r="A110">
        <v>23</v>
      </c>
      <c r="B110" t="s">
        <v>669</v>
      </c>
      <c r="C110" t="s">
        <v>670</v>
      </c>
      <c r="D110" t="s">
        <v>671</v>
      </c>
    </row>
    <row r="111" spans="1:4">
      <c r="A111">
        <v>24</v>
      </c>
      <c r="B111" t="s">
        <v>672</v>
      </c>
      <c r="C111" t="s">
        <v>673</v>
      </c>
      <c r="D111" t="s">
        <v>674</v>
      </c>
    </row>
    <row r="113" spans="1:4">
      <c r="A113" t="s">
        <v>462</v>
      </c>
      <c r="B113" t="s">
        <v>463</v>
      </c>
      <c r="C113" t="s">
        <v>464</v>
      </c>
      <c r="D113" t="s">
        <v>465</v>
      </c>
    </row>
    <row r="114" spans="1:4">
      <c r="A114">
        <v>25</v>
      </c>
      <c r="B114" t="s">
        <v>675</v>
      </c>
      <c r="C114" t="s">
        <v>676</v>
      </c>
      <c r="D114" t="s">
        <v>677</v>
      </c>
    </row>
    <row r="115" spans="1:4">
      <c r="A115">
        <v>26</v>
      </c>
      <c r="B115" t="s">
        <v>678</v>
      </c>
      <c r="C115" t="s">
        <v>679</v>
      </c>
      <c r="D115" t="s">
        <v>469</v>
      </c>
    </row>
    <row r="116" spans="1:4">
      <c r="A116">
        <v>27</v>
      </c>
      <c r="B116" t="s">
        <v>680</v>
      </c>
      <c r="C116" t="s">
        <v>681</v>
      </c>
      <c r="D116" t="s">
        <v>682</v>
      </c>
    </row>
    <row r="118" spans="1:4">
      <c r="A118" t="s">
        <v>462</v>
      </c>
      <c r="B118" t="s">
        <v>463</v>
      </c>
      <c r="C118" t="s">
        <v>464</v>
      </c>
      <c r="D118" t="s">
        <v>128</v>
      </c>
    </row>
    <row r="119" spans="1:4">
      <c r="A119">
        <v>28</v>
      </c>
      <c r="B119" t="s">
        <v>470</v>
      </c>
      <c r="C119" t="s">
        <v>683</v>
      </c>
      <c r="D119" t="s">
        <v>684</v>
      </c>
    </row>
    <row r="120" spans="1:4">
      <c r="A120">
        <v>29</v>
      </c>
      <c r="B120" t="s">
        <v>685</v>
      </c>
      <c r="C120" t="s">
        <v>686</v>
      </c>
      <c r="D120" t="s">
        <v>687</v>
      </c>
    </row>
    <row r="121" spans="1:4">
      <c r="A121">
        <v>30</v>
      </c>
      <c r="B121" t="s">
        <v>688</v>
      </c>
      <c r="C121" t="s">
        <v>689</v>
      </c>
      <c r="D121" t="s">
        <v>690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1" workbookViewId="0">
      <selection activeCell="Z28" sqref="Z28:AB28"/>
    </sheetView>
  </sheetViews>
  <sheetFormatPr defaultColWidth="9" defaultRowHeight="13.5"/>
  <cols>
    <col min="1" max="4" width="9" style="5"/>
    <col min="5" max="5" width="86" customWidth="1"/>
    <col min="14" max="14" width="16" customWidth="1"/>
    <col min="15" max="20" width="10.6333333333333" style="5" customWidth="1"/>
    <col min="21" max="22" width="10.6333333333333" customWidth="1"/>
    <col min="23" max="34" width="10.6333333333333" style="5" customWidth="1"/>
  </cols>
  <sheetData>
    <row r="1" spans="1:25">
      <c r="A1" s="5" t="s">
        <v>162</v>
      </c>
      <c r="B1" s="5" t="s">
        <v>463</v>
      </c>
      <c r="C1" s="5" t="s">
        <v>291</v>
      </c>
      <c r="D1" s="5" t="s">
        <v>691</v>
      </c>
      <c r="E1" t="s">
        <v>128</v>
      </c>
    </row>
    <row r="4" spans="1:25">
      <c r="V4" s="5"/>
    </row>
    <row r="5" spans="1:25">
      <c r="V5" s="5"/>
    </row>
    <row r="6" spans="1:25">
      <c r="V6" s="5"/>
    </row>
    <row r="7" spans="1:25">
      <c r="V7" s="5"/>
    </row>
    <row r="8" spans="1:25">
      <c r="V8" s="5"/>
    </row>
    <row r="9" spans="1:25">
      <c r="V9" s="5"/>
    </row>
    <row r="10" spans="1:25">
      <c r="U10" t="s">
        <v>692</v>
      </c>
      <c r="V10" s="5" t="s">
        <v>693</v>
      </c>
      <c r="W10" s="5" t="s">
        <v>694</v>
      </c>
      <c r="Y10" s="5" t="s">
        <v>695</v>
      </c>
    </row>
    <row r="11" spans="1:25">
      <c r="V11" s="5"/>
    </row>
    <row r="12" spans="1:25">
      <c r="V12" s="5"/>
    </row>
    <row r="13" spans="1:25">
      <c r="V13" s="5"/>
    </row>
    <row r="14" spans="1:25">
      <c r="Q14" t="s">
        <v>696</v>
      </c>
      <c r="V14" s="5"/>
    </row>
    <row r="15" spans="1:25">
      <c r="Q15" t="s">
        <v>697</v>
      </c>
      <c r="V15" s="5"/>
    </row>
    <row r="16" spans="1:25">
      <c r="Q16" t="s">
        <v>698</v>
      </c>
      <c r="V16" s="5"/>
    </row>
    <row r="17" spans="1:34">
      <c r="Q17" t="s">
        <v>699</v>
      </c>
      <c r="R17" s="5">
        <v>1</v>
      </c>
      <c r="V17" s="5"/>
    </row>
    <row r="18" spans="1:34">
      <c r="Q18" t="s">
        <v>700</v>
      </c>
      <c r="R18" s="5">
        <v>2</v>
      </c>
      <c r="U18" t="s">
        <v>701</v>
      </c>
      <c r="V18" s="5"/>
    </row>
    <row r="19" spans="1:34">
      <c r="Q19" t="s">
        <v>702</v>
      </c>
      <c r="R19" s="5">
        <v>3</v>
      </c>
      <c r="U19" t="s">
        <v>162</v>
      </c>
      <c r="V19" s="5" t="s">
        <v>703</v>
      </c>
    </row>
    <row r="20" spans="1:34">
      <c r="U20" t="s">
        <v>704</v>
      </c>
      <c r="V20" s="5" t="s">
        <v>705</v>
      </c>
    </row>
    <row r="21" spans="1:34">
      <c r="U21" t="s">
        <v>706</v>
      </c>
      <c r="V21" s="5" t="s">
        <v>707</v>
      </c>
    </row>
    <row r="22" spans="1:34">
      <c r="A22" s="5" t="s">
        <v>708</v>
      </c>
      <c r="B22" s="5" t="s">
        <v>709</v>
      </c>
      <c r="C22" s="5" t="s">
        <v>710</v>
      </c>
      <c r="E22" t="s">
        <v>711</v>
      </c>
      <c r="U22" t="s">
        <v>712</v>
      </c>
      <c r="V22" s="5" t="s">
        <v>713</v>
      </c>
    </row>
    <row r="23" spans="1:34">
      <c r="A23" s="5" t="s">
        <v>708</v>
      </c>
      <c r="B23" s="5" t="s">
        <v>714</v>
      </c>
      <c r="C23" s="5" t="s">
        <v>710</v>
      </c>
      <c r="E23" t="s">
        <v>715</v>
      </c>
      <c r="J23" s="6"/>
      <c r="K23" s="6"/>
      <c r="L23" s="6"/>
      <c r="O23"/>
      <c r="P23"/>
      <c r="U23" t="s">
        <v>692</v>
      </c>
      <c r="V23" s="5" t="s">
        <v>716</v>
      </c>
    </row>
    <row r="24" spans="1:34">
      <c r="A24" s="5" t="s">
        <v>708</v>
      </c>
      <c r="B24" s="5" t="s">
        <v>717</v>
      </c>
      <c r="C24" s="5" t="s">
        <v>710</v>
      </c>
      <c r="E24" t="s">
        <v>718</v>
      </c>
      <c r="J24" s="6"/>
      <c r="K24" s="6"/>
      <c r="L24" s="6"/>
      <c r="O24"/>
      <c r="P24"/>
      <c r="U24" t="s">
        <v>719</v>
      </c>
      <c r="V24" s="5" t="s">
        <v>720</v>
      </c>
    </row>
    <row r="25" ht="15" spans="1:34">
      <c r="A25" s="5" t="s">
        <v>708</v>
      </c>
      <c r="B25" s="5" t="s">
        <v>721</v>
      </c>
      <c r="C25" s="5" t="s">
        <v>710</v>
      </c>
      <c r="E25" t="s">
        <v>722</v>
      </c>
      <c r="J25" s="6"/>
      <c r="K25" s="6"/>
      <c r="L25" s="6"/>
      <c r="O25"/>
      <c r="P25"/>
      <c r="V25" s="5"/>
    </row>
    <row r="26" spans="1:34">
      <c r="A26" s="5" t="s">
        <v>708</v>
      </c>
      <c r="B26" s="5" t="s">
        <v>723</v>
      </c>
      <c r="C26" s="5" t="s">
        <v>710</v>
      </c>
      <c r="E26" t="s">
        <v>724</v>
      </c>
      <c r="J26" s="6"/>
      <c r="K26" s="6"/>
      <c r="L26" s="6"/>
      <c r="O26"/>
      <c r="P26"/>
    </row>
    <row r="27" spans="1:34">
      <c r="A27" s="5" t="s">
        <v>708</v>
      </c>
      <c r="B27" s="5" t="s">
        <v>472</v>
      </c>
      <c r="C27" s="5" t="s">
        <v>710</v>
      </c>
      <c r="E27" t="s">
        <v>725</v>
      </c>
      <c r="J27" s="6"/>
      <c r="K27" s="6"/>
      <c r="L27" s="6"/>
      <c r="O27"/>
      <c r="P27"/>
    </row>
    <row r="28" spans="1:34">
      <c r="A28" s="5" t="s">
        <v>708</v>
      </c>
      <c r="B28" s="5" t="s">
        <v>726</v>
      </c>
      <c r="C28" s="5" t="s">
        <v>710</v>
      </c>
      <c r="E28" t="s">
        <v>727</v>
      </c>
      <c r="J28" s="6"/>
      <c r="K28" s="6"/>
      <c r="L28" s="6"/>
      <c r="O28" t="s">
        <v>728</v>
      </c>
      <c r="P28"/>
      <c r="Q28" s="7" t="s">
        <v>729</v>
      </c>
      <c r="R28" s="7"/>
      <c r="S28" s="7"/>
      <c r="T28" s="7"/>
      <c r="U28" s="7"/>
      <c r="V28" s="7"/>
      <c r="W28" s="5" t="s">
        <v>730</v>
      </c>
      <c r="Z28" s="8" t="s">
        <v>708</v>
      </c>
      <c r="AA28" s="8"/>
      <c r="AB28" s="8"/>
      <c r="AC28" s="5" t="s">
        <v>731</v>
      </c>
      <c r="AF28" s="5" t="s">
        <v>732</v>
      </c>
    </row>
    <row r="29" spans="1:34">
      <c r="A29" s="5" t="s">
        <v>708</v>
      </c>
      <c r="B29" s="5" t="s">
        <v>505</v>
      </c>
      <c r="C29" s="5" t="s">
        <v>710</v>
      </c>
      <c r="E29" t="s">
        <v>733</v>
      </c>
      <c r="J29" s="6"/>
      <c r="K29" s="6"/>
      <c r="L29" s="6"/>
      <c r="O29">
        <v>4</v>
      </c>
      <c r="P29" s="5" t="s">
        <v>298</v>
      </c>
      <c r="Q29" s="7" t="s">
        <v>9</v>
      </c>
      <c r="R29" s="7" t="s">
        <v>10</v>
      </c>
      <c r="S29" s="7" t="s">
        <v>11</v>
      </c>
      <c r="T29" s="7" t="s">
        <v>14</v>
      </c>
      <c r="U29" s="7" t="s">
        <v>12</v>
      </c>
      <c r="V29" s="7" t="s">
        <v>13</v>
      </c>
      <c r="W29" s="5" t="s">
        <v>734</v>
      </c>
      <c r="X29" s="5" t="s">
        <v>735</v>
      </c>
      <c r="Y29" s="5" t="s">
        <v>736</v>
      </c>
      <c r="Z29" s="5" t="s">
        <v>734</v>
      </c>
      <c r="AA29" s="5" t="s">
        <v>735</v>
      </c>
      <c r="AB29" s="5" t="s">
        <v>736</v>
      </c>
      <c r="AC29" s="5" t="s">
        <v>734</v>
      </c>
      <c r="AD29" s="5" t="s">
        <v>735</v>
      </c>
      <c r="AE29" s="5" t="s">
        <v>736</v>
      </c>
      <c r="AF29" s="5" t="s">
        <v>734</v>
      </c>
      <c r="AG29" s="5" t="s">
        <v>735</v>
      </c>
      <c r="AH29" s="5" t="s">
        <v>736</v>
      </c>
    </row>
    <row r="30" spans="1:34">
      <c r="A30" s="5" t="s">
        <v>708</v>
      </c>
      <c r="B30" s="5" t="s">
        <v>708</v>
      </c>
      <c r="C30" s="5" t="s">
        <v>710</v>
      </c>
      <c r="E30" t="s">
        <v>737</v>
      </c>
      <c r="J30" s="6"/>
      <c r="K30" s="6"/>
      <c r="L30" s="6"/>
      <c r="O30"/>
      <c r="P30" s="7"/>
      <c r="Q30" s="7" t="s">
        <v>738</v>
      </c>
      <c r="R30" s="7" t="s">
        <v>738</v>
      </c>
      <c r="S30" s="7" t="s">
        <v>738</v>
      </c>
      <c r="T30" s="7" t="s">
        <v>738</v>
      </c>
      <c r="U30" s="7" t="s">
        <v>738</v>
      </c>
      <c r="V30" s="7" t="s">
        <v>738</v>
      </c>
    </row>
    <row r="31" spans="1:34">
      <c r="A31" s="5" t="s">
        <v>708</v>
      </c>
      <c r="B31" s="5" t="s">
        <v>739</v>
      </c>
      <c r="C31" s="5" t="s">
        <v>710</v>
      </c>
      <c r="E31" t="s">
        <v>740</v>
      </c>
      <c r="J31" s="6"/>
      <c r="K31" s="6"/>
      <c r="L31" s="6"/>
      <c r="O31"/>
      <c r="P31" s="7"/>
      <c r="Q31" s="7" t="s">
        <v>741</v>
      </c>
      <c r="R31" s="7" t="s">
        <v>741</v>
      </c>
      <c r="S31" s="7" t="s">
        <v>741</v>
      </c>
      <c r="T31" s="7" t="s">
        <v>741</v>
      </c>
      <c r="U31" s="7" t="s">
        <v>741</v>
      </c>
      <c r="V31" s="7" t="s">
        <v>741</v>
      </c>
    </row>
    <row r="32" spans="1:34">
      <c r="A32" s="5" t="s">
        <v>708</v>
      </c>
      <c r="B32" s="5" t="s">
        <v>742</v>
      </c>
      <c r="C32" s="5" t="s">
        <v>743</v>
      </c>
      <c r="D32" s="5" t="s">
        <v>744</v>
      </c>
      <c r="E32" t="s">
        <v>745</v>
      </c>
      <c r="I32" s="6"/>
      <c r="J32" s="6"/>
      <c r="K32" s="6"/>
      <c r="L32" s="6"/>
      <c r="O32"/>
      <c r="P32" s="7"/>
      <c r="Q32" s="7"/>
      <c r="R32" s="7"/>
      <c r="S32" s="7"/>
      <c r="T32" s="7"/>
      <c r="U32" s="7"/>
      <c r="V32" s="7"/>
      <c r="W32" s="7"/>
      <c r="X32" s="7"/>
    </row>
    <row r="33" spans="1:34">
      <c r="A33" s="5" t="s">
        <v>708</v>
      </c>
      <c r="B33" s="5" t="s">
        <v>746</v>
      </c>
      <c r="C33" s="5" t="s">
        <v>743</v>
      </c>
      <c r="D33" s="5" t="s">
        <v>744</v>
      </c>
      <c r="E33" t="s">
        <v>747</v>
      </c>
      <c r="I33" s="6"/>
      <c r="J33" s="6"/>
      <c r="K33" s="6"/>
      <c r="L33" s="6"/>
      <c r="O33">
        <v>4</v>
      </c>
      <c r="P33" s="5" t="s">
        <v>302</v>
      </c>
      <c r="Q33" s="7" t="s">
        <v>18</v>
      </c>
      <c r="R33" s="7" t="s">
        <v>19</v>
      </c>
      <c r="S33" s="7" t="s">
        <v>20</v>
      </c>
      <c r="T33" s="7" t="s">
        <v>23</v>
      </c>
      <c r="U33" s="7" t="s">
        <v>21</v>
      </c>
      <c r="V33" s="7" t="s">
        <v>22</v>
      </c>
      <c r="W33" s="5" t="s">
        <v>109</v>
      </c>
      <c r="X33" s="7" t="s">
        <v>52</v>
      </c>
      <c r="Y33" s="7" t="s">
        <v>46</v>
      </c>
      <c r="Z33" s="5" t="s">
        <v>748</v>
      </c>
      <c r="AA33" s="5" t="s">
        <v>109</v>
      </c>
      <c r="AB33" s="5" t="s">
        <v>44</v>
      </c>
      <c r="AC33" s="5" t="s">
        <v>749</v>
      </c>
      <c r="AD33" s="5" t="s">
        <v>20</v>
      </c>
      <c r="AE33" s="5" t="s">
        <v>750</v>
      </c>
      <c r="AF33" s="5" t="s">
        <v>75</v>
      </c>
      <c r="AG33" s="5" t="s">
        <v>82</v>
      </c>
      <c r="AH33" s="5" t="s">
        <v>48</v>
      </c>
    </row>
    <row r="34" spans="1:34">
      <c r="A34" s="5" t="s">
        <v>708</v>
      </c>
      <c r="B34" s="5" t="s">
        <v>751</v>
      </c>
      <c r="C34" s="5" t="s">
        <v>743</v>
      </c>
      <c r="D34" s="5" t="s">
        <v>744</v>
      </c>
      <c r="E34" t="s">
        <v>752</v>
      </c>
      <c r="J34" s="6"/>
      <c r="K34" s="6"/>
      <c r="L34" s="6"/>
      <c r="O34"/>
      <c r="P34" s="7"/>
      <c r="Q34" s="7" t="s">
        <v>738</v>
      </c>
      <c r="R34" s="7" t="s">
        <v>738</v>
      </c>
      <c r="S34" s="7" t="s">
        <v>738</v>
      </c>
      <c r="T34" s="7" t="s">
        <v>738</v>
      </c>
      <c r="U34" s="7" t="s">
        <v>738</v>
      </c>
      <c r="V34" s="7" t="s">
        <v>738</v>
      </c>
      <c r="W34" s="5" t="s">
        <v>738</v>
      </c>
      <c r="X34" s="7" t="s">
        <v>738</v>
      </c>
      <c r="Y34" s="7" t="s">
        <v>738</v>
      </c>
      <c r="Z34" s="5" t="s">
        <v>738</v>
      </c>
      <c r="AA34" s="5" t="s">
        <v>738</v>
      </c>
      <c r="AB34" s="5" t="s">
        <v>738</v>
      </c>
      <c r="AC34" s="5" t="s">
        <v>738</v>
      </c>
      <c r="AD34" s="5" t="s">
        <v>738</v>
      </c>
      <c r="AE34" s="5" t="s">
        <v>738</v>
      </c>
      <c r="AF34" s="5" t="s">
        <v>738</v>
      </c>
      <c r="AG34" s="5" t="s">
        <v>738</v>
      </c>
      <c r="AH34" s="5" t="s">
        <v>738</v>
      </c>
    </row>
    <row r="35" spans="1:34">
      <c r="A35" s="5" t="s">
        <v>708</v>
      </c>
      <c r="B35" s="5" t="s">
        <v>753</v>
      </c>
      <c r="C35" s="5" t="s">
        <v>743</v>
      </c>
      <c r="D35" s="5" t="s">
        <v>744</v>
      </c>
      <c r="E35" t="s">
        <v>754</v>
      </c>
      <c r="J35" s="6"/>
      <c r="K35" s="6"/>
      <c r="L35" s="6"/>
      <c r="O35"/>
      <c r="P35" s="7"/>
      <c r="Q35" s="7" t="s">
        <v>755</v>
      </c>
      <c r="R35" s="7" t="s">
        <v>755</v>
      </c>
      <c r="S35" s="7" t="s">
        <v>755</v>
      </c>
      <c r="T35" s="7" t="s">
        <v>755</v>
      </c>
      <c r="U35" s="7" t="s">
        <v>755</v>
      </c>
      <c r="V35" s="7" t="s">
        <v>755</v>
      </c>
      <c r="W35" s="5" t="s">
        <v>756</v>
      </c>
      <c r="X35" s="7" t="s">
        <v>757</v>
      </c>
      <c r="Y35" s="7" t="s">
        <v>757</v>
      </c>
      <c r="Z35" s="5" t="s">
        <v>758</v>
      </c>
      <c r="AA35" s="5" t="s">
        <v>756</v>
      </c>
      <c r="AB35" s="5" t="s">
        <v>759</v>
      </c>
      <c r="AC35" s="5" t="s">
        <v>760</v>
      </c>
      <c r="AD35" s="5" t="s">
        <v>759</v>
      </c>
      <c r="AE35" s="5" t="s">
        <v>759</v>
      </c>
      <c r="AF35" s="5" t="s">
        <v>759</v>
      </c>
      <c r="AG35" s="5" t="s">
        <v>759</v>
      </c>
      <c r="AH35" s="5" t="s">
        <v>761</v>
      </c>
    </row>
    <row r="36" spans="1:34">
      <c r="A36" s="5" t="s">
        <v>708</v>
      </c>
      <c r="B36" s="5" t="s">
        <v>762</v>
      </c>
      <c r="C36" s="5" t="s">
        <v>743</v>
      </c>
      <c r="D36" s="5" t="s">
        <v>763</v>
      </c>
      <c r="E36" t="s">
        <v>764</v>
      </c>
      <c r="J36" s="6"/>
      <c r="K36" s="6"/>
      <c r="L36" s="6"/>
      <c r="O36"/>
      <c r="P36" s="7"/>
      <c r="Q36" s="7"/>
      <c r="R36" s="7"/>
      <c r="S36" s="7"/>
      <c r="T36" s="7"/>
      <c r="U36" s="7"/>
      <c r="V36" s="7"/>
      <c r="W36" s="7"/>
    </row>
    <row r="37" spans="1:34">
      <c r="A37" s="5" t="s">
        <v>708</v>
      </c>
      <c r="B37" s="5" t="s">
        <v>765</v>
      </c>
      <c r="C37" s="5" t="s">
        <v>743</v>
      </c>
      <c r="D37" s="5" t="s">
        <v>744</v>
      </c>
      <c r="E37" t="s">
        <v>766</v>
      </c>
      <c r="J37" s="6"/>
      <c r="K37" s="6"/>
      <c r="L37" s="6"/>
      <c r="O37">
        <v>4</v>
      </c>
      <c r="P37" s="5" t="s">
        <v>307</v>
      </c>
      <c r="Q37" s="7" t="s">
        <v>767</v>
      </c>
      <c r="R37" s="7" t="s">
        <v>76</v>
      </c>
      <c r="S37" s="7" t="s">
        <v>77</v>
      </c>
      <c r="T37" s="7" t="s">
        <v>768</v>
      </c>
      <c r="U37" s="7" t="s">
        <v>769</v>
      </c>
      <c r="V37" s="7"/>
      <c r="W37" s="5" t="s">
        <v>734</v>
      </c>
      <c r="X37" s="5" t="s">
        <v>735</v>
      </c>
      <c r="Z37" s="5" t="s">
        <v>734</v>
      </c>
      <c r="AA37" s="5" t="s">
        <v>735</v>
      </c>
      <c r="AC37" s="5" t="s">
        <v>734</v>
      </c>
      <c r="AD37" s="5" t="s">
        <v>735</v>
      </c>
      <c r="AF37" s="5" t="s">
        <v>734</v>
      </c>
      <c r="AG37" s="5" t="s">
        <v>735</v>
      </c>
    </row>
    <row r="38" spans="1:34">
      <c r="A38" s="5" t="s">
        <v>708</v>
      </c>
      <c r="B38" s="5" t="s">
        <v>770</v>
      </c>
      <c r="C38" s="5" t="s">
        <v>743</v>
      </c>
      <c r="D38" s="5" t="s">
        <v>771</v>
      </c>
      <c r="E38" t="s">
        <v>772</v>
      </c>
      <c r="J38" s="6"/>
      <c r="K38" s="6"/>
      <c r="L38" s="6"/>
      <c r="O38"/>
      <c r="P38" s="7"/>
      <c r="Q38" s="7" t="s">
        <v>738</v>
      </c>
      <c r="R38" s="7" t="s">
        <v>738</v>
      </c>
      <c r="S38" s="7" t="s">
        <v>738</v>
      </c>
      <c r="T38" s="7" t="s">
        <v>738</v>
      </c>
      <c r="U38" s="7" t="s">
        <v>738</v>
      </c>
      <c r="V38" s="7"/>
    </row>
    <row r="39" spans="1:34">
      <c r="A39" s="5" t="s">
        <v>708</v>
      </c>
      <c r="B39" s="5" t="s">
        <v>773</v>
      </c>
      <c r="C39" s="5" t="s">
        <v>743</v>
      </c>
      <c r="D39" s="5" t="s">
        <v>774</v>
      </c>
      <c r="E39" t="s">
        <v>775</v>
      </c>
      <c r="J39" s="6"/>
      <c r="K39" s="6"/>
      <c r="L39" s="6"/>
      <c r="O39"/>
      <c r="P39" s="7"/>
      <c r="Q39" s="7" t="s">
        <v>776</v>
      </c>
      <c r="R39" s="7" t="s">
        <v>759</v>
      </c>
      <c r="S39" s="7" t="s">
        <v>759</v>
      </c>
      <c r="T39" s="7" t="s">
        <v>759</v>
      </c>
      <c r="U39" s="7" t="s">
        <v>759</v>
      </c>
      <c r="V39" s="7"/>
    </row>
    <row r="40" spans="1:34">
      <c r="A40" s="5" t="s">
        <v>708</v>
      </c>
      <c r="B40" s="5" t="s">
        <v>777</v>
      </c>
      <c r="C40" s="5" t="s">
        <v>743</v>
      </c>
      <c r="D40" s="5" t="s">
        <v>744</v>
      </c>
      <c r="E40" t="s">
        <v>778</v>
      </c>
      <c r="J40" s="6"/>
      <c r="K40" s="6"/>
      <c r="L40" s="6"/>
      <c r="O40"/>
      <c r="P40" s="7"/>
      <c r="V40" s="7"/>
    </row>
    <row r="41" spans="1:34">
      <c r="A41" s="5" t="s">
        <v>708</v>
      </c>
      <c r="B41" s="5" t="s">
        <v>779</v>
      </c>
      <c r="C41" s="5" t="s">
        <v>743</v>
      </c>
      <c r="D41" s="5" t="s">
        <v>744</v>
      </c>
      <c r="E41" t="s">
        <v>780</v>
      </c>
      <c r="K41" s="6"/>
      <c r="L41" s="6"/>
      <c r="O41">
        <v>4</v>
      </c>
      <c r="P41" s="5" t="s">
        <v>312</v>
      </c>
      <c r="Q41" s="5" t="s">
        <v>781</v>
      </c>
      <c r="R41" s="5" t="s">
        <v>75</v>
      </c>
      <c r="S41" s="5" t="s">
        <v>117</v>
      </c>
      <c r="T41" s="5" t="s">
        <v>44</v>
      </c>
      <c r="V41" s="7"/>
      <c r="X41" s="5" t="s">
        <v>782</v>
      </c>
      <c r="AA41" s="5" t="s">
        <v>781</v>
      </c>
      <c r="AD41" s="5" t="s">
        <v>68</v>
      </c>
      <c r="AG41" s="5" t="s">
        <v>113</v>
      </c>
    </row>
    <row r="42" spans="1:34">
      <c r="A42" s="5" t="s">
        <v>708</v>
      </c>
      <c r="B42" s="5" t="s">
        <v>739</v>
      </c>
      <c r="C42" s="5" t="s">
        <v>783</v>
      </c>
      <c r="D42" s="5" t="s">
        <v>744</v>
      </c>
      <c r="E42" t="s">
        <v>784</v>
      </c>
      <c r="K42" s="6"/>
      <c r="L42" s="6"/>
      <c r="O42"/>
      <c r="P42" s="7"/>
      <c r="Q42" s="7" t="s">
        <v>738</v>
      </c>
      <c r="R42" s="7" t="s">
        <v>738</v>
      </c>
      <c r="S42" s="7" t="s">
        <v>738</v>
      </c>
      <c r="T42" s="7" t="s">
        <v>738</v>
      </c>
      <c r="U42" s="7"/>
      <c r="V42" s="7"/>
      <c r="X42" s="5" t="s">
        <v>738</v>
      </c>
      <c r="AA42" s="7" t="s">
        <v>738</v>
      </c>
      <c r="AD42" s="5" t="s">
        <v>738</v>
      </c>
      <c r="AG42" s="5" t="s">
        <v>738</v>
      </c>
    </row>
    <row r="43" spans="1:34">
      <c r="A43" s="5" t="s">
        <v>708</v>
      </c>
      <c r="B43" s="5" t="s">
        <v>785</v>
      </c>
      <c r="C43" s="5" t="s">
        <v>783</v>
      </c>
      <c r="D43" s="5" t="s">
        <v>786</v>
      </c>
      <c r="E43" t="s">
        <v>787</v>
      </c>
      <c r="O43" s="7"/>
      <c r="P43" s="7"/>
      <c r="Q43" s="7" t="s">
        <v>759</v>
      </c>
      <c r="R43" s="7" t="s">
        <v>759</v>
      </c>
      <c r="S43" s="7" t="s">
        <v>756</v>
      </c>
      <c r="T43" s="7" t="s">
        <v>759</v>
      </c>
      <c r="U43" s="7"/>
      <c r="V43" s="7"/>
      <c r="X43" s="5" t="s">
        <v>758</v>
      </c>
      <c r="AA43" s="7" t="s">
        <v>759</v>
      </c>
      <c r="AD43" s="5" t="s">
        <v>759</v>
      </c>
      <c r="AG43" s="5" t="s">
        <v>759</v>
      </c>
    </row>
    <row r="44" spans="1:34">
      <c r="A44" s="5" t="s">
        <v>708</v>
      </c>
      <c r="B44" s="5" t="s">
        <v>788</v>
      </c>
      <c r="C44" s="5" t="s">
        <v>783</v>
      </c>
      <c r="D44" s="5" t="s">
        <v>744</v>
      </c>
      <c r="E44" t="s">
        <v>789</v>
      </c>
      <c r="O44" s="7"/>
      <c r="P44" s="7"/>
      <c r="Q44" s="7"/>
      <c r="R44" s="7"/>
      <c r="S44" s="7"/>
      <c r="T44" s="7"/>
      <c r="U44" s="7"/>
      <c r="V44" s="7"/>
    </row>
    <row r="45" spans="1:34">
      <c r="A45" s="5" t="s">
        <v>708</v>
      </c>
      <c r="B45" s="5" t="s">
        <v>790</v>
      </c>
      <c r="C45" s="5" t="s">
        <v>783</v>
      </c>
      <c r="D45" s="5" t="s">
        <v>786</v>
      </c>
      <c r="E45" t="s">
        <v>791</v>
      </c>
      <c r="O45" s="9">
        <v>4</v>
      </c>
      <c r="P45" s="5" t="s">
        <v>792</v>
      </c>
      <c r="Q45" s="5" t="s">
        <v>27</v>
      </c>
      <c r="R45" s="7" t="s">
        <v>28</v>
      </c>
      <c r="S45" s="7" t="s">
        <v>29</v>
      </c>
      <c r="T45" s="7" t="s">
        <v>32</v>
      </c>
      <c r="U45" s="7" t="s">
        <v>30</v>
      </c>
      <c r="V45" s="7" t="s">
        <v>31</v>
      </c>
      <c r="X45" s="5" t="s">
        <v>32</v>
      </c>
      <c r="Z45" s="5" t="s">
        <v>117</v>
      </c>
      <c r="AA45" s="5" t="s">
        <v>32</v>
      </c>
      <c r="AC45" s="5" t="s">
        <v>47</v>
      </c>
      <c r="AD45" s="5" t="s">
        <v>18</v>
      </c>
      <c r="AE45" s="5" t="s">
        <v>76</v>
      </c>
      <c r="AF45" s="5" t="s">
        <v>32</v>
      </c>
      <c r="AG45" s="5" t="s">
        <v>22</v>
      </c>
      <c r="AH45" s="5" t="s">
        <v>23</v>
      </c>
    </row>
    <row r="46" spans="1:34">
      <c r="A46" s="5" t="s">
        <v>708</v>
      </c>
      <c r="B46" s="5" t="s">
        <v>793</v>
      </c>
      <c r="C46" s="5" t="s">
        <v>783</v>
      </c>
      <c r="D46" s="5" t="s">
        <v>763</v>
      </c>
      <c r="E46" t="s">
        <v>794</v>
      </c>
      <c r="O46" s="7"/>
      <c r="P46" s="7"/>
      <c r="Q46" s="7" t="s">
        <v>738</v>
      </c>
      <c r="R46" s="7" t="s">
        <v>738</v>
      </c>
      <c r="S46" s="7" t="s">
        <v>738</v>
      </c>
      <c r="T46" s="7" t="s">
        <v>738</v>
      </c>
      <c r="U46" s="7" t="s">
        <v>738</v>
      </c>
      <c r="V46" s="7" t="s">
        <v>738</v>
      </c>
      <c r="X46" s="5" t="s">
        <v>738</v>
      </c>
      <c r="Z46" s="5" t="s">
        <v>738</v>
      </c>
      <c r="AA46" s="5" t="s">
        <v>738</v>
      </c>
      <c r="AC46" s="5" t="s">
        <v>738</v>
      </c>
      <c r="AD46" s="5" t="s">
        <v>738</v>
      </c>
      <c r="AE46" s="5" t="s">
        <v>738</v>
      </c>
      <c r="AF46" s="5" t="s">
        <v>738</v>
      </c>
      <c r="AG46" s="5" t="s">
        <v>738</v>
      </c>
      <c r="AH46" s="5" t="s">
        <v>738</v>
      </c>
    </row>
    <row r="47" spans="1:34">
      <c r="A47" s="5" t="s">
        <v>708</v>
      </c>
      <c r="B47" s="5" t="s">
        <v>795</v>
      </c>
      <c r="C47" s="5" t="s">
        <v>783</v>
      </c>
      <c r="D47" s="5" t="s">
        <v>744</v>
      </c>
      <c r="E47" t="s">
        <v>796</v>
      </c>
      <c r="O47" s="7"/>
      <c r="P47" s="7"/>
      <c r="Q47" s="7" t="s">
        <v>797</v>
      </c>
      <c r="R47" s="7" t="s">
        <v>797</v>
      </c>
      <c r="S47" s="7" t="s">
        <v>797</v>
      </c>
      <c r="T47" s="7" t="s">
        <v>797</v>
      </c>
      <c r="U47" s="7" t="s">
        <v>797</v>
      </c>
      <c r="V47" s="7" t="s">
        <v>797</v>
      </c>
      <c r="X47" s="5" t="s">
        <v>798</v>
      </c>
      <c r="Z47" s="5" t="s">
        <v>759</v>
      </c>
      <c r="AA47" s="5" t="s">
        <v>798</v>
      </c>
      <c r="AC47" s="5" t="s">
        <v>758</v>
      </c>
      <c r="AD47" s="5" t="s">
        <v>758</v>
      </c>
      <c r="AE47" s="5" t="s">
        <v>759</v>
      </c>
      <c r="AF47" s="5" t="s">
        <v>798</v>
      </c>
      <c r="AG47" s="5" t="s">
        <v>758</v>
      </c>
      <c r="AH47" s="5" t="s">
        <v>798</v>
      </c>
    </row>
    <row r="48" spans="1:34">
      <c r="A48" s="5" t="s">
        <v>708</v>
      </c>
      <c r="B48" s="5" t="s">
        <v>799</v>
      </c>
      <c r="C48" s="5" t="s">
        <v>783</v>
      </c>
      <c r="D48" s="5" t="s">
        <v>800</v>
      </c>
      <c r="E48" t="s">
        <v>801</v>
      </c>
      <c r="O48"/>
      <c r="P48" s="7"/>
    </row>
    <row r="49" spans="1:34">
      <c r="A49" s="5" t="s">
        <v>708</v>
      </c>
      <c r="B49" s="5" t="s">
        <v>802</v>
      </c>
      <c r="C49" s="5" t="s">
        <v>783</v>
      </c>
      <c r="D49" s="5" t="s">
        <v>744</v>
      </c>
      <c r="E49" t="s">
        <v>803</v>
      </c>
      <c r="O49">
        <v>6</v>
      </c>
      <c r="P49" s="5" t="s">
        <v>804</v>
      </c>
      <c r="Q49" s="5" t="s">
        <v>97</v>
      </c>
      <c r="R49" s="5" t="s">
        <v>96</v>
      </c>
      <c r="S49" s="5" t="s">
        <v>98</v>
      </c>
      <c r="T49" s="5" t="s">
        <v>95</v>
      </c>
      <c r="U49" s="5" t="s">
        <v>82</v>
      </c>
      <c r="W49" s="5" t="s">
        <v>734</v>
      </c>
      <c r="X49" s="5" t="s">
        <v>735</v>
      </c>
      <c r="Y49" s="5" t="s">
        <v>736</v>
      </c>
      <c r="Z49" s="5" t="s">
        <v>734</v>
      </c>
      <c r="AA49" s="5" t="s">
        <v>735</v>
      </c>
      <c r="AB49" s="5" t="s">
        <v>736</v>
      </c>
      <c r="AC49" s="5" t="s">
        <v>734</v>
      </c>
      <c r="AD49" s="5" t="s">
        <v>735</v>
      </c>
      <c r="AE49" s="5" t="s">
        <v>736</v>
      </c>
      <c r="AF49" s="5" t="s">
        <v>734</v>
      </c>
      <c r="AG49" s="5" t="s">
        <v>735</v>
      </c>
      <c r="AH49" s="5" t="s">
        <v>736</v>
      </c>
    </row>
    <row r="50" spans="1:34">
      <c r="A50" s="5" t="s">
        <v>708</v>
      </c>
      <c r="B50" s="5" t="s">
        <v>805</v>
      </c>
      <c r="C50" s="5" t="s">
        <v>783</v>
      </c>
      <c r="D50" s="5" t="s">
        <v>744</v>
      </c>
      <c r="E50" t="s">
        <v>806</v>
      </c>
      <c r="O50"/>
      <c r="P50" s="7"/>
      <c r="Q50" s="7" t="s">
        <v>738</v>
      </c>
      <c r="R50" s="7" t="s">
        <v>738</v>
      </c>
      <c r="S50" s="7" t="s">
        <v>738</v>
      </c>
      <c r="T50" s="7" t="s">
        <v>738</v>
      </c>
      <c r="U50" s="5" t="s">
        <v>738</v>
      </c>
      <c r="V50" s="7"/>
    </row>
    <row r="51" spans="1:34">
      <c r="A51" s="5" t="s">
        <v>708</v>
      </c>
      <c r="B51" s="5" t="s">
        <v>807</v>
      </c>
      <c r="C51" s="5" t="s">
        <v>783</v>
      </c>
      <c r="D51" s="5" t="s">
        <v>786</v>
      </c>
      <c r="E51" t="s">
        <v>808</v>
      </c>
      <c r="O51"/>
      <c r="P51" s="7"/>
      <c r="Q51" s="7" t="s">
        <v>759</v>
      </c>
      <c r="R51" s="7" t="s">
        <v>759</v>
      </c>
      <c r="S51" s="7" t="s">
        <v>759</v>
      </c>
      <c r="T51" s="7" t="s">
        <v>759</v>
      </c>
      <c r="U51" s="5" t="s">
        <v>759</v>
      </c>
    </row>
    <row r="52" spans="1:34">
      <c r="A52" s="5" t="s">
        <v>731</v>
      </c>
      <c r="B52" s="5" t="s">
        <v>809</v>
      </c>
      <c r="C52" s="5" t="s">
        <v>710</v>
      </c>
      <c r="E52" t="s">
        <v>810</v>
      </c>
      <c r="O52"/>
      <c r="P52" s="7"/>
    </row>
    <row r="53" spans="1:34">
      <c r="A53" s="5" t="s">
        <v>731</v>
      </c>
      <c r="B53" s="5" t="s">
        <v>811</v>
      </c>
      <c r="C53" s="5" t="s">
        <v>710</v>
      </c>
      <c r="E53" t="s">
        <v>812</v>
      </c>
      <c r="O53">
        <v>6</v>
      </c>
      <c r="P53" s="5" t="s">
        <v>813</v>
      </c>
      <c r="Q53" s="7" t="s">
        <v>9</v>
      </c>
      <c r="R53" s="7" t="s">
        <v>10</v>
      </c>
      <c r="S53" s="7" t="s">
        <v>11</v>
      </c>
      <c r="T53" s="7" t="s">
        <v>14</v>
      </c>
      <c r="U53" s="7" t="s">
        <v>12</v>
      </c>
      <c r="V53" s="7" t="s">
        <v>13</v>
      </c>
      <c r="W53" s="5" t="s">
        <v>46</v>
      </c>
      <c r="X53" s="5" t="s">
        <v>55</v>
      </c>
      <c r="Z53" s="5" t="s">
        <v>748</v>
      </c>
      <c r="AA53" s="5" t="s">
        <v>44</v>
      </c>
      <c r="AB53" s="5" t="s">
        <v>103</v>
      </c>
      <c r="AC53" s="5" t="s">
        <v>85</v>
      </c>
      <c r="AD53" s="5" t="s">
        <v>27</v>
      </c>
      <c r="AE53" s="5" t="s">
        <v>814</v>
      </c>
      <c r="AF53" s="5" t="s">
        <v>75</v>
      </c>
      <c r="AG53" s="5" t="s">
        <v>31</v>
      </c>
      <c r="AH53" s="5" t="s">
        <v>48</v>
      </c>
    </row>
    <row r="54" spans="1:34">
      <c r="A54" s="5" t="s">
        <v>731</v>
      </c>
      <c r="B54" s="5" t="s">
        <v>731</v>
      </c>
      <c r="C54" s="5" t="s">
        <v>710</v>
      </c>
      <c r="E54" t="s">
        <v>815</v>
      </c>
      <c r="G54" s="6"/>
      <c r="H54" s="6"/>
      <c r="I54" s="6"/>
      <c r="J54" s="6"/>
      <c r="O54"/>
      <c r="P54" s="7"/>
      <c r="Q54" s="7" t="s">
        <v>816</v>
      </c>
      <c r="R54" s="7" t="s">
        <v>816</v>
      </c>
      <c r="S54" s="7" t="s">
        <v>816</v>
      </c>
      <c r="T54" s="7" t="s">
        <v>816</v>
      </c>
      <c r="U54" s="7" t="s">
        <v>816</v>
      </c>
      <c r="V54" s="7" t="s">
        <v>816</v>
      </c>
      <c r="W54" s="5" t="s">
        <v>816</v>
      </c>
      <c r="X54" s="5" t="s">
        <v>738</v>
      </c>
      <c r="Z54" s="5" t="s">
        <v>738</v>
      </c>
      <c r="AA54" s="5" t="s">
        <v>738</v>
      </c>
      <c r="AB54" s="5" t="s">
        <v>816</v>
      </c>
      <c r="AC54" s="5" t="s">
        <v>738</v>
      </c>
      <c r="AD54" s="5" t="s">
        <v>816</v>
      </c>
      <c r="AE54" s="5" t="s">
        <v>816</v>
      </c>
      <c r="AF54" s="5" t="s">
        <v>738</v>
      </c>
      <c r="AG54" s="5" t="s">
        <v>816</v>
      </c>
    </row>
    <row r="55" spans="1:34">
      <c r="A55" s="5" t="s">
        <v>731</v>
      </c>
      <c r="B55" s="5" t="s">
        <v>508</v>
      </c>
      <c r="C55" s="5" t="s">
        <v>710</v>
      </c>
      <c r="E55" t="s">
        <v>817</v>
      </c>
      <c r="G55" s="6"/>
      <c r="H55" s="6"/>
      <c r="I55" s="6"/>
      <c r="J55" s="6"/>
      <c r="O55"/>
      <c r="P55" s="7"/>
      <c r="Q55" s="7" t="s">
        <v>818</v>
      </c>
      <c r="R55" s="7" t="s">
        <v>819</v>
      </c>
      <c r="S55" s="7" t="s">
        <v>819</v>
      </c>
      <c r="T55" s="7" t="s">
        <v>819</v>
      </c>
      <c r="U55" s="7" t="s">
        <v>819</v>
      </c>
      <c r="V55" s="7" t="s">
        <v>819</v>
      </c>
      <c r="W55" s="5" t="s">
        <v>819</v>
      </c>
      <c r="X55" s="5" t="s">
        <v>798</v>
      </c>
      <c r="Z55" s="5" t="s">
        <v>819</v>
      </c>
      <c r="AA55" s="5" t="s">
        <v>798</v>
      </c>
      <c r="AB55" s="5" t="s">
        <v>820</v>
      </c>
      <c r="AC55" s="5" t="s">
        <v>761</v>
      </c>
      <c r="AD55" s="5" t="s">
        <v>821</v>
      </c>
      <c r="AE55" s="5" t="s">
        <v>820</v>
      </c>
      <c r="AF55" s="5" t="s">
        <v>820</v>
      </c>
      <c r="AG55" s="5" t="s">
        <v>821</v>
      </c>
    </row>
    <row r="56" spans="1:34">
      <c r="A56" s="5" t="s">
        <v>731</v>
      </c>
      <c r="B56" s="5" t="s">
        <v>485</v>
      </c>
      <c r="C56" s="5" t="s">
        <v>710</v>
      </c>
      <c r="E56" t="s">
        <v>822</v>
      </c>
      <c r="G56" s="6"/>
      <c r="H56" s="6"/>
      <c r="I56" s="6"/>
      <c r="J56" s="6"/>
      <c r="O56"/>
      <c r="P56" s="7"/>
    </row>
    <row r="57" spans="1:34">
      <c r="A57" s="5" t="s">
        <v>731</v>
      </c>
      <c r="B57" s="5" t="s">
        <v>823</v>
      </c>
      <c r="C57" s="5" t="s">
        <v>710</v>
      </c>
      <c r="E57" t="s">
        <v>824</v>
      </c>
      <c r="G57" s="6"/>
      <c r="H57" s="6"/>
      <c r="I57" s="6"/>
      <c r="J57" s="6"/>
      <c r="O57">
        <v>6</v>
      </c>
      <c r="P57" s="5" t="s">
        <v>825</v>
      </c>
      <c r="Q57" s="5" t="s">
        <v>54</v>
      </c>
      <c r="R57" s="5" t="s">
        <v>826</v>
      </c>
      <c r="W57" s="5" t="s">
        <v>734</v>
      </c>
      <c r="X57" s="5" t="s">
        <v>735</v>
      </c>
      <c r="Z57" s="5" t="s">
        <v>734</v>
      </c>
      <c r="AA57" s="5" t="s">
        <v>735</v>
      </c>
      <c r="AC57" s="5" t="s">
        <v>734</v>
      </c>
      <c r="AD57" s="5" t="s">
        <v>735</v>
      </c>
      <c r="AF57" s="5" t="s">
        <v>734</v>
      </c>
      <c r="AG57" s="5" t="s">
        <v>735</v>
      </c>
    </row>
    <row r="58" spans="1:34">
      <c r="A58" s="5" t="s">
        <v>731</v>
      </c>
      <c r="B58" s="5" t="s">
        <v>827</v>
      </c>
      <c r="C58" s="5" t="s">
        <v>710</v>
      </c>
      <c r="E58" t="s">
        <v>828</v>
      </c>
      <c r="G58" s="6"/>
      <c r="H58" s="6"/>
      <c r="I58" s="6"/>
      <c r="J58" s="6"/>
      <c r="O58"/>
      <c r="P58" s="7"/>
      <c r="Q58" s="5" t="s">
        <v>816</v>
      </c>
      <c r="R58" s="5" t="s">
        <v>816</v>
      </c>
    </row>
    <row r="59" spans="1:34">
      <c r="A59" s="5" t="s">
        <v>731</v>
      </c>
      <c r="B59" s="5" t="s">
        <v>829</v>
      </c>
      <c r="C59" s="5" t="s">
        <v>710</v>
      </c>
      <c r="E59" t="s">
        <v>830</v>
      </c>
      <c r="G59" s="6"/>
      <c r="H59" s="6"/>
      <c r="I59" s="6"/>
      <c r="J59" s="6"/>
      <c r="O59"/>
      <c r="P59" s="7"/>
      <c r="Q59" s="5" t="s">
        <v>831</v>
      </c>
      <c r="R59" s="5" t="s">
        <v>820</v>
      </c>
    </row>
    <row r="60" spans="1:34">
      <c r="A60" s="5" t="s">
        <v>731</v>
      </c>
      <c r="B60" s="5" t="s">
        <v>832</v>
      </c>
      <c r="C60" s="5" t="s">
        <v>710</v>
      </c>
      <c r="E60" t="s">
        <v>833</v>
      </c>
      <c r="G60" s="6"/>
      <c r="H60" s="6"/>
      <c r="I60" s="6"/>
      <c r="J60" s="6"/>
      <c r="O60"/>
      <c r="P60" s="7"/>
    </row>
    <row r="61" spans="1:34">
      <c r="A61" s="5" t="s">
        <v>731</v>
      </c>
      <c r="B61" s="5" t="s">
        <v>834</v>
      </c>
      <c r="C61" s="5" t="s">
        <v>710</v>
      </c>
      <c r="E61" t="s">
        <v>835</v>
      </c>
      <c r="G61" s="6"/>
      <c r="H61" s="6"/>
      <c r="I61" s="6"/>
      <c r="J61" s="6"/>
      <c r="O61">
        <v>6</v>
      </c>
      <c r="P61" s="5" t="s">
        <v>836</v>
      </c>
      <c r="Q61" s="5" t="s">
        <v>837</v>
      </c>
      <c r="R61" s="5" t="s">
        <v>838</v>
      </c>
      <c r="S61" s="5" t="s">
        <v>839</v>
      </c>
      <c r="T61" s="5" t="s">
        <v>118</v>
      </c>
      <c r="W61" s="5" t="s">
        <v>840</v>
      </c>
      <c r="Z61" s="5" t="s">
        <v>28</v>
      </c>
      <c r="AC61" s="5" t="s">
        <v>76</v>
      </c>
      <c r="AD61" s="5" t="s">
        <v>841</v>
      </c>
    </row>
    <row r="62" spans="1:34">
      <c r="A62" s="5" t="s">
        <v>731</v>
      </c>
      <c r="B62" s="5" t="s">
        <v>842</v>
      </c>
      <c r="C62" s="5" t="s">
        <v>743</v>
      </c>
      <c r="D62" s="5" t="s">
        <v>843</v>
      </c>
      <c r="E62" t="s">
        <v>844</v>
      </c>
      <c r="F62" s="6"/>
      <c r="H62" s="6"/>
      <c r="I62" s="6"/>
      <c r="J62" s="6"/>
      <c r="O62"/>
      <c r="P62" s="7"/>
      <c r="Q62" s="5">
        <v>2</v>
      </c>
      <c r="R62" s="5">
        <v>2</v>
      </c>
      <c r="S62" s="5">
        <v>2</v>
      </c>
      <c r="T62" s="5" t="s">
        <v>816</v>
      </c>
      <c r="W62" s="5" t="s">
        <v>816</v>
      </c>
      <c r="Z62" s="5" t="s">
        <v>816</v>
      </c>
      <c r="AC62" s="5" t="s">
        <v>816</v>
      </c>
      <c r="AD62" s="5" t="s">
        <v>816</v>
      </c>
    </row>
    <row r="63" spans="1:34">
      <c r="A63" s="5" t="s">
        <v>731</v>
      </c>
      <c r="B63" s="5" t="s">
        <v>845</v>
      </c>
      <c r="C63" s="5" t="s">
        <v>743</v>
      </c>
      <c r="D63" s="5" t="s">
        <v>786</v>
      </c>
      <c r="E63" t="s">
        <v>846</v>
      </c>
      <c r="F63" s="6"/>
      <c r="H63" s="6"/>
      <c r="I63" s="6"/>
      <c r="O63"/>
      <c r="P63" s="7"/>
      <c r="Q63" s="5">
        <v>8</v>
      </c>
      <c r="R63" s="5">
        <v>20</v>
      </c>
      <c r="S63" s="10">
        <v>0.2</v>
      </c>
      <c r="T63" s="5" t="s">
        <v>758</v>
      </c>
      <c r="W63" s="5" t="s">
        <v>821</v>
      </c>
      <c r="Z63" s="5" t="s">
        <v>821</v>
      </c>
      <c r="AC63" s="5" t="s">
        <v>821</v>
      </c>
      <c r="AD63" s="5" t="s">
        <v>847</v>
      </c>
    </row>
    <row r="64" spans="1:34">
      <c r="A64" s="5" t="s">
        <v>731</v>
      </c>
      <c r="B64" s="5" t="s">
        <v>848</v>
      </c>
      <c r="C64" s="5" t="s">
        <v>743</v>
      </c>
      <c r="D64" s="5" t="s">
        <v>744</v>
      </c>
      <c r="E64" t="s">
        <v>849</v>
      </c>
      <c r="F64" s="6"/>
      <c r="H64" s="6"/>
      <c r="I64" s="6"/>
      <c r="O64"/>
      <c r="P64" s="7"/>
    </row>
    <row r="65" spans="1:33">
      <c r="A65" s="5" t="s">
        <v>731</v>
      </c>
      <c r="B65" s="5" t="s">
        <v>850</v>
      </c>
      <c r="C65" s="5" t="s">
        <v>743</v>
      </c>
      <c r="D65" s="5" t="s">
        <v>744</v>
      </c>
      <c r="E65" t="s">
        <v>851</v>
      </c>
      <c r="F65" s="6"/>
      <c r="H65" s="6"/>
      <c r="I65" s="6"/>
      <c r="O65">
        <v>6</v>
      </c>
      <c r="P65" s="5" t="s">
        <v>852</v>
      </c>
      <c r="Q65" s="5" t="s">
        <v>86</v>
      </c>
      <c r="R65" s="5" t="s">
        <v>34</v>
      </c>
      <c r="S65" s="5" t="s">
        <v>35</v>
      </c>
      <c r="X65" s="5" t="s">
        <v>117</v>
      </c>
      <c r="AA65" s="5" t="s">
        <v>838</v>
      </c>
      <c r="AF65" s="5" t="s">
        <v>853</v>
      </c>
      <c r="AG65" s="5" t="s">
        <v>176</v>
      </c>
    </row>
    <row r="66" spans="1:33">
      <c r="A66" s="5" t="s">
        <v>731</v>
      </c>
      <c r="B66" s="5" t="s">
        <v>854</v>
      </c>
      <c r="C66" s="5" t="s">
        <v>743</v>
      </c>
      <c r="D66" s="5" t="s">
        <v>843</v>
      </c>
      <c r="E66" t="s">
        <v>855</v>
      </c>
      <c r="F66" s="6"/>
      <c r="H66" s="6"/>
      <c r="I66" s="6"/>
      <c r="Q66" s="5" t="s">
        <v>816</v>
      </c>
      <c r="R66" s="5" t="s">
        <v>816</v>
      </c>
      <c r="S66" s="5" t="s">
        <v>816</v>
      </c>
      <c r="X66" s="5" t="s">
        <v>816</v>
      </c>
      <c r="AA66" s="5" t="s">
        <v>816</v>
      </c>
      <c r="AG66" s="5" t="s">
        <v>816</v>
      </c>
    </row>
    <row r="67" spans="1:33">
      <c r="A67" s="5" t="s">
        <v>731</v>
      </c>
      <c r="B67" s="5" t="s">
        <v>856</v>
      </c>
      <c r="C67" s="5" t="s">
        <v>743</v>
      </c>
      <c r="E67" t="s">
        <v>857</v>
      </c>
      <c r="F67" s="6"/>
      <c r="H67" s="6"/>
      <c r="I67" s="6"/>
      <c r="Q67" s="5" t="s">
        <v>761</v>
      </c>
      <c r="R67" s="5" t="s">
        <v>821</v>
      </c>
      <c r="S67" s="5" t="s">
        <v>821</v>
      </c>
      <c r="X67" s="5" t="s">
        <v>761</v>
      </c>
      <c r="AA67" s="5" t="s">
        <v>821</v>
      </c>
      <c r="AG67" s="5" t="s">
        <v>858</v>
      </c>
    </row>
    <row r="68" spans="1:33">
      <c r="A68" s="5" t="s">
        <v>731</v>
      </c>
      <c r="B68" s="5" t="s">
        <v>859</v>
      </c>
      <c r="C68" s="5" t="s">
        <v>743</v>
      </c>
      <c r="D68" s="5" t="s">
        <v>744</v>
      </c>
      <c r="E68" t="s">
        <v>860</v>
      </c>
      <c r="F68" s="6"/>
      <c r="H68" s="6"/>
      <c r="I68" s="6"/>
    </row>
    <row r="69" spans="1:33">
      <c r="A69" s="5" t="s">
        <v>731</v>
      </c>
      <c r="B69" s="5" t="s">
        <v>861</v>
      </c>
      <c r="C69" s="5" t="s">
        <v>743</v>
      </c>
      <c r="D69" s="5" t="s">
        <v>744</v>
      </c>
      <c r="E69" t="s">
        <v>862</v>
      </c>
      <c r="F69" s="6"/>
      <c r="H69" s="6"/>
      <c r="I69" s="6"/>
    </row>
    <row r="70" spans="1:33">
      <c r="A70" s="5" t="s">
        <v>731</v>
      </c>
      <c r="B70" s="5" t="s">
        <v>863</v>
      </c>
      <c r="C70" s="5" t="s">
        <v>743</v>
      </c>
      <c r="D70" s="5" t="s">
        <v>744</v>
      </c>
      <c r="E70" t="s">
        <v>864</v>
      </c>
      <c r="F70" s="6"/>
      <c r="H70" s="6"/>
      <c r="I70" s="6"/>
    </row>
    <row r="71" spans="1:33">
      <c r="A71" s="5" t="s">
        <v>731</v>
      </c>
      <c r="B71" s="5" t="s">
        <v>865</v>
      </c>
      <c r="C71" s="5" t="s">
        <v>743</v>
      </c>
      <c r="D71" s="5" t="s">
        <v>786</v>
      </c>
      <c r="E71" t="s">
        <v>866</v>
      </c>
      <c r="F71" s="6"/>
      <c r="H71" s="6"/>
      <c r="I71" s="6"/>
    </row>
    <row r="72" spans="1:33">
      <c r="A72" s="5" t="s">
        <v>731</v>
      </c>
      <c r="B72" s="5" t="s">
        <v>867</v>
      </c>
      <c r="C72" s="5" t="s">
        <v>783</v>
      </c>
      <c r="D72" s="5" t="s">
        <v>786</v>
      </c>
      <c r="E72" t="s">
        <v>868</v>
      </c>
      <c r="F72" s="6"/>
      <c r="H72" s="6"/>
      <c r="I72" s="6"/>
    </row>
    <row r="73" spans="1:33">
      <c r="A73" s="5" t="s">
        <v>731</v>
      </c>
      <c r="B73" s="5" t="s">
        <v>869</v>
      </c>
      <c r="C73" s="5" t="s">
        <v>783</v>
      </c>
      <c r="E73" t="s">
        <v>870</v>
      </c>
      <c r="F73" s="6"/>
      <c r="H73" s="6"/>
      <c r="I73" s="6"/>
    </row>
    <row r="74" spans="1:33">
      <c r="A74" s="5" t="s">
        <v>731</v>
      </c>
      <c r="B74" s="5" t="s">
        <v>871</v>
      </c>
      <c r="C74" s="5" t="s">
        <v>783</v>
      </c>
      <c r="E74" t="s">
        <v>872</v>
      </c>
      <c r="F74" s="6"/>
      <c r="H74" s="6"/>
      <c r="I74" s="6"/>
      <c r="Q74" t="s">
        <v>873</v>
      </c>
      <c r="R74"/>
    </row>
    <row r="75" spans="1:33">
      <c r="A75" s="5" t="s">
        <v>731</v>
      </c>
      <c r="B75" s="5" t="s">
        <v>874</v>
      </c>
      <c r="C75" s="5" t="s">
        <v>783</v>
      </c>
      <c r="D75" s="5" t="s">
        <v>786</v>
      </c>
      <c r="E75" t="s">
        <v>875</v>
      </c>
      <c r="F75" s="6"/>
      <c r="H75" s="6"/>
      <c r="I75" s="6"/>
      <c r="Q75" t="s">
        <v>876</v>
      </c>
      <c r="R75"/>
    </row>
    <row r="76" spans="1:33">
      <c r="A76" s="5" t="s">
        <v>731</v>
      </c>
      <c r="B76" s="5" t="s">
        <v>877</v>
      </c>
      <c r="C76" s="5" t="s">
        <v>783</v>
      </c>
      <c r="D76" s="5" t="s">
        <v>786</v>
      </c>
      <c r="E76" t="s">
        <v>878</v>
      </c>
      <c r="F76" s="6"/>
      <c r="H76" s="6"/>
      <c r="I76" s="6"/>
      <c r="Q76" t="s">
        <v>879</v>
      </c>
      <c r="R76"/>
    </row>
    <row r="77" spans="1:33">
      <c r="A77" s="5" t="s">
        <v>731</v>
      </c>
      <c r="B77" s="5" t="s">
        <v>483</v>
      </c>
      <c r="C77" s="5" t="s">
        <v>783</v>
      </c>
      <c r="D77" s="5" t="s">
        <v>843</v>
      </c>
      <c r="E77" t="s">
        <v>880</v>
      </c>
      <c r="F77" s="6"/>
      <c r="H77" s="6"/>
      <c r="I77" s="6"/>
      <c r="Q77" t="s">
        <v>881</v>
      </c>
      <c r="R77"/>
    </row>
    <row r="78" spans="1:33">
      <c r="A78" s="5" t="s">
        <v>731</v>
      </c>
      <c r="B78" s="5" t="s">
        <v>494</v>
      </c>
      <c r="C78" s="5" t="s">
        <v>783</v>
      </c>
      <c r="D78" s="5" t="s">
        <v>800</v>
      </c>
      <c r="E78" t="s">
        <v>882</v>
      </c>
      <c r="F78" s="6"/>
      <c r="H78" s="6"/>
      <c r="I78" s="6"/>
      <c r="Q78" t="s">
        <v>162</v>
      </c>
      <c r="R78" t="s">
        <v>883</v>
      </c>
      <c r="S78" s="5" t="s">
        <v>884</v>
      </c>
      <c r="U78" t="s">
        <v>885</v>
      </c>
    </row>
    <row r="79" spans="1:33">
      <c r="A79" s="5" t="s">
        <v>731</v>
      </c>
      <c r="B79" s="5" t="s">
        <v>886</v>
      </c>
      <c r="C79" s="5" t="s">
        <v>783</v>
      </c>
      <c r="D79" s="5" t="s">
        <v>744</v>
      </c>
      <c r="E79" t="s">
        <v>887</v>
      </c>
      <c r="Q79" t="s">
        <v>704</v>
      </c>
      <c r="R79" t="s">
        <v>888</v>
      </c>
      <c r="S79" s="5" t="s">
        <v>889</v>
      </c>
      <c r="U79" t="s">
        <v>890</v>
      </c>
    </row>
    <row r="80" spans="1:33">
      <c r="A80" s="5" t="s">
        <v>731</v>
      </c>
      <c r="B80" s="5" t="s">
        <v>891</v>
      </c>
      <c r="C80" s="5" t="s">
        <v>783</v>
      </c>
      <c r="D80" s="5" t="s">
        <v>843</v>
      </c>
      <c r="E80" t="s">
        <v>892</v>
      </c>
      <c r="Q80" t="s">
        <v>706</v>
      </c>
      <c r="R80" t="s">
        <v>888</v>
      </c>
      <c r="S80" s="5" t="s">
        <v>893</v>
      </c>
      <c r="U80" t="s">
        <v>894</v>
      </c>
    </row>
    <row r="81" spans="1:21">
      <c r="A81" s="5" t="s">
        <v>731</v>
      </c>
      <c r="B81" s="5" t="s">
        <v>895</v>
      </c>
      <c r="C81" s="5" t="s">
        <v>783</v>
      </c>
      <c r="D81" s="5" t="s">
        <v>786</v>
      </c>
      <c r="E81" t="s">
        <v>896</v>
      </c>
      <c r="Q81" t="s">
        <v>692</v>
      </c>
      <c r="R81" t="s">
        <v>897</v>
      </c>
      <c r="S81" s="5" t="s">
        <v>898</v>
      </c>
      <c r="U81" t="s">
        <v>899</v>
      </c>
    </row>
    <row r="82" spans="1:21">
      <c r="A82" s="5" t="s">
        <v>732</v>
      </c>
      <c r="B82" s="5" t="s">
        <v>900</v>
      </c>
      <c r="C82" s="5" t="s">
        <v>710</v>
      </c>
      <c r="E82" t="s">
        <v>901</v>
      </c>
      <c r="G82" s="6"/>
      <c r="H82" s="6"/>
      <c r="Q82" t="s">
        <v>902</v>
      </c>
      <c r="R82" t="s">
        <v>903</v>
      </c>
      <c r="S82" s="5" t="s">
        <v>904</v>
      </c>
      <c r="U82" t="s">
        <v>905</v>
      </c>
    </row>
    <row r="83" spans="1:21">
      <c r="A83" s="5" t="s">
        <v>732</v>
      </c>
      <c r="B83" s="5" t="s">
        <v>906</v>
      </c>
      <c r="C83" s="5" t="s">
        <v>710</v>
      </c>
      <c r="E83" t="s">
        <v>907</v>
      </c>
    </row>
    <row r="84" spans="1:21">
      <c r="A84" s="5" t="s">
        <v>732</v>
      </c>
      <c r="B84" s="5" t="s">
        <v>908</v>
      </c>
      <c r="C84" s="5" t="s">
        <v>710</v>
      </c>
      <c r="E84" t="s">
        <v>909</v>
      </c>
    </row>
    <row r="85" spans="1:21">
      <c r="A85" s="5" t="s">
        <v>732</v>
      </c>
      <c r="B85" s="5" t="s">
        <v>910</v>
      </c>
      <c r="C85" s="5" t="s">
        <v>710</v>
      </c>
      <c r="E85" t="s">
        <v>911</v>
      </c>
    </row>
    <row r="86" spans="1:21">
      <c r="A86" s="5" t="s">
        <v>732</v>
      </c>
      <c r="B86" s="5" t="s">
        <v>912</v>
      </c>
      <c r="C86" s="5" t="s">
        <v>710</v>
      </c>
      <c r="E86" t="s">
        <v>913</v>
      </c>
      <c r="Q86" s="5" t="s">
        <v>914</v>
      </c>
    </row>
    <row r="87" spans="1:21">
      <c r="A87" s="5" t="s">
        <v>732</v>
      </c>
      <c r="B87" s="5" t="s">
        <v>915</v>
      </c>
      <c r="C87" s="5" t="s">
        <v>710</v>
      </c>
      <c r="E87" t="s">
        <v>916</v>
      </c>
      <c r="Q87" s="5" t="s">
        <v>917</v>
      </c>
    </row>
    <row r="88" spans="1:21">
      <c r="A88" s="5" t="s">
        <v>732</v>
      </c>
      <c r="B88" s="5" t="s">
        <v>918</v>
      </c>
      <c r="C88" s="5" t="s">
        <v>710</v>
      </c>
      <c r="E88" t="s">
        <v>919</v>
      </c>
    </row>
    <row r="89" spans="1:21">
      <c r="A89" s="5" t="s">
        <v>732</v>
      </c>
      <c r="B89" s="5" t="s">
        <v>920</v>
      </c>
      <c r="C89" s="5" t="s">
        <v>710</v>
      </c>
      <c r="E89" t="s">
        <v>921</v>
      </c>
    </row>
    <row r="90" spans="1:21">
      <c r="A90" s="5" t="s">
        <v>732</v>
      </c>
      <c r="B90" s="5" t="s">
        <v>922</v>
      </c>
      <c r="C90" s="5" t="s">
        <v>710</v>
      </c>
      <c r="E90" t="s">
        <v>923</v>
      </c>
    </row>
    <row r="91" spans="1:21">
      <c r="A91" s="5" t="s">
        <v>732</v>
      </c>
      <c r="B91" s="5" t="s">
        <v>924</v>
      </c>
      <c r="C91" s="5" t="s">
        <v>710</v>
      </c>
      <c r="E91" t="s">
        <v>925</v>
      </c>
    </row>
    <row r="92" spans="1:21">
      <c r="A92" s="5" t="s">
        <v>732</v>
      </c>
      <c r="B92" s="5" t="s">
        <v>926</v>
      </c>
      <c r="C92" s="5" t="s">
        <v>743</v>
      </c>
      <c r="D92" s="5" t="s">
        <v>744</v>
      </c>
      <c r="E92" t="s">
        <v>927</v>
      </c>
    </row>
    <row r="93" spans="1:21">
      <c r="A93" s="5" t="s">
        <v>732</v>
      </c>
      <c r="B93" s="5" t="s">
        <v>908</v>
      </c>
      <c r="C93" s="5" t="s">
        <v>743</v>
      </c>
      <c r="D93" s="5" t="s">
        <v>843</v>
      </c>
      <c r="E93" t="s">
        <v>928</v>
      </c>
    </row>
    <row r="94" spans="1:21">
      <c r="A94" s="5" t="s">
        <v>732</v>
      </c>
      <c r="B94" s="5" t="s">
        <v>929</v>
      </c>
      <c r="C94" s="5" t="s">
        <v>743</v>
      </c>
      <c r="D94" s="5" t="s">
        <v>744</v>
      </c>
      <c r="E94" t="s">
        <v>930</v>
      </c>
    </row>
    <row r="95" spans="1:21">
      <c r="A95" s="5" t="s">
        <v>732</v>
      </c>
      <c r="B95" s="5" t="s">
        <v>912</v>
      </c>
      <c r="C95" s="5" t="s">
        <v>743</v>
      </c>
      <c r="D95" s="5" t="s">
        <v>843</v>
      </c>
      <c r="E95" t="s">
        <v>931</v>
      </c>
    </row>
    <row r="96" spans="1:21">
      <c r="A96" s="5" t="s">
        <v>732</v>
      </c>
      <c r="B96" s="5" t="s">
        <v>932</v>
      </c>
      <c r="C96" s="5" t="s">
        <v>743</v>
      </c>
      <c r="D96" s="5" t="s">
        <v>744</v>
      </c>
      <c r="E96" t="s">
        <v>933</v>
      </c>
    </row>
    <row r="97" spans="1:8">
      <c r="A97" s="5" t="s">
        <v>732</v>
      </c>
      <c r="B97" s="5" t="s">
        <v>934</v>
      </c>
      <c r="C97" s="5" t="s">
        <v>743</v>
      </c>
      <c r="D97" s="5" t="s">
        <v>774</v>
      </c>
      <c r="E97" t="s">
        <v>935</v>
      </c>
    </row>
    <row r="98" spans="1:8">
      <c r="A98" s="5" t="s">
        <v>732</v>
      </c>
      <c r="B98" s="5" t="s">
        <v>936</v>
      </c>
      <c r="C98" s="5" t="s">
        <v>743</v>
      </c>
      <c r="D98" s="5" t="s">
        <v>744</v>
      </c>
      <c r="E98" t="s">
        <v>937</v>
      </c>
    </row>
    <row r="99" spans="1:8">
      <c r="A99" s="5" t="s">
        <v>732</v>
      </c>
      <c r="B99" s="5" t="s">
        <v>938</v>
      </c>
      <c r="C99" s="5" t="s">
        <v>743</v>
      </c>
      <c r="D99" s="5" t="s">
        <v>939</v>
      </c>
      <c r="E99" t="s">
        <v>940</v>
      </c>
    </row>
    <row r="100" spans="1:8">
      <c r="A100" s="5" t="s">
        <v>732</v>
      </c>
      <c r="B100" s="5" t="s">
        <v>941</v>
      </c>
      <c r="C100" s="5" t="s">
        <v>743</v>
      </c>
      <c r="D100" s="7" t="s">
        <v>744</v>
      </c>
      <c r="E100" t="s">
        <v>942</v>
      </c>
      <c r="F100" s="6"/>
    </row>
    <row r="101" spans="1:8">
      <c r="A101" s="5" t="s">
        <v>732</v>
      </c>
      <c r="B101" s="5" t="s">
        <v>943</v>
      </c>
      <c r="C101" s="5" t="s">
        <v>743</v>
      </c>
      <c r="D101" s="7" t="s">
        <v>763</v>
      </c>
      <c r="E101" t="s">
        <v>944</v>
      </c>
      <c r="F101" s="6"/>
    </row>
    <row r="102" spans="1:8">
      <c r="A102" s="5" t="s">
        <v>732</v>
      </c>
      <c r="B102" s="5" t="s">
        <v>945</v>
      </c>
      <c r="C102" s="5" t="s">
        <v>783</v>
      </c>
      <c r="D102" s="7" t="s">
        <v>744</v>
      </c>
      <c r="E102" s="7" t="s">
        <v>946</v>
      </c>
      <c r="F102" s="6"/>
      <c r="G102" s="6"/>
      <c r="H102" s="6"/>
    </row>
    <row r="103" spans="1:8">
      <c r="A103" s="5" t="s">
        <v>732</v>
      </c>
      <c r="B103" s="5" t="s">
        <v>947</v>
      </c>
      <c r="C103" s="5" t="s">
        <v>783</v>
      </c>
      <c r="D103" s="5" t="s">
        <v>939</v>
      </c>
      <c r="E103" s="5" t="s">
        <v>948</v>
      </c>
      <c r="G103" s="6"/>
      <c r="H103" s="6"/>
    </row>
    <row r="104" spans="1:8">
      <c r="A104" s="5" t="s">
        <v>732</v>
      </c>
      <c r="B104" s="5" t="s">
        <v>949</v>
      </c>
      <c r="C104" s="5" t="s">
        <v>783</v>
      </c>
      <c r="D104" s="5" t="s">
        <v>800</v>
      </c>
      <c r="E104" s="5" t="s">
        <v>950</v>
      </c>
      <c r="G104" s="6"/>
      <c r="H104" s="6"/>
    </row>
    <row r="105" spans="1:8">
      <c r="A105" s="5" t="s">
        <v>732</v>
      </c>
      <c r="B105" s="5" t="s">
        <v>951</v>
      </c>
      <c r="C105" s="5" t="s">
        <v>783</v>
      </c>
      <c r="D105" s="5" t="s">
        <v>843</v>
      </c>
      <c r="E105" s="5" t="s">
        <v>952</v>
      </c>
    </row>
    <row r="106" spans="1:8">
      <c r="A106" s="5" t="s">
        <v>732</v>
      </c>
      <c r="B106" s="5" t="s">
        <v>953</v>
      </c>
      <c r="C106" s="5" t="s">
        <v>783</v>
      </c>
      <c r="D106" s="5" t="s">
        <v>744</v>
      </c>
      <c r="E106" s="5" t="s">
        <v>954</v>
      </c>
    </row>
    <row r="107" spans="1:8">
      <c r="A107" s="5" t="s">
        <v>732</v>
      </c>
      <c r="B107" s="5" t="s">
        <v>955</v>
      </c>
      <c r="C107" s="5" t="s">
        <v>783</v>
      </c>
      <c r="D107" s="5" t="s">
        <v>744</v>
      </c>
      <c r="E107" s="5" t="s">
        <v>956</v>
      </c>
    </row>
    <row r="108" spans="1:8">
      <c r="A108" s="5" t="s">
        <v>732</v>
      </c>
      <c r="B108" s="5" t="s">
        <v>957</v>
      </c>
      <c r="C108" s="5" t="s">
        <v>783</v>
      </c>
      <c r="D108" s="5" t="s">
        <v>843</v>
      </c>
      <c r="E108" s="5" t="s">
        <v>958</v>
      </c>
    </row>
    <row r="109" spans="1:8">
      <c r="A109" s="5" t="s">
        <v>732</v>
      </c>
      <c r="B109" s="5" t="s">
        <v>959</v>
      </c>
      <c r="C109" s="5" t="s">
        <v>783</v>
      </c>
      <c r="D109" s="5" t="s">
        <v>763</v>
      </c>
      <c r="E109" s="5" t="s">
        <v>960</v>
      </c>
    </row>
    <row r="110" spans="1:8">
      <c r="A110" s="5" t="s">
        <v>732</v>
      </c>
      <c r="B110" s="5" t="s">
        <v>961</v>
      </c>
      <c r="C110" s="5" t="s">
        <v>783</v>
      </c>
      <c r="D110" s="5" t="s">
        <v>962</v>
      </c>
      <c r="E110" s="5" t="s">
        <v>963</v>
      </c>
    </row>
    <row r="111" spans="1:8">
      <c r="A111" s="5" t="s">
        <v>732</v>
      </c>
      <c r="B111" s="5" t="s">
        <v>964</v>
      </c>
      <c r="C111" s="5" t="s">
        <v>783</v>
      </c>
      <c r="D111" s="5" t="s">
        <v>744</v>
      </c>
      <c r="E111" s="5" t="s">
        <v>965</v>
      </c>
    </row>
    <row r="116" spans="2:5">
      <c r="E116" t="s">
        <v>966</v>
      </c>
    </row>
    <row r="117" spans="2:5">
      <c r="E117" t="s">
        <v>967</v>
      </c>
    </row>
    <row r="118" spans="2:5">
      <c r="E118" t="s">
        <v>968</v>
      </c>
    </row>
    <row r="120" spans="2:5">
      <c r="B120" s="5" t="s">
        <v>969</v>
      </c>
      <c r="D120" s="5" t="s">
        <v>738</v>
      </c>
      <c r="E120" t="s">
        <v>970</v>
      </c>
    </row>
    <row r="121" spans="2:5">
      <c r="D121" s="5" t="s">
        <v>971</v>
      </c>
      <c r="E121" t="s">
        <v>972</v>
      </c>
    </row>
    <row r="122" spans="2:5">
      <c r="B122" s="8"/>
      <c r="D122" s="5" t="s">
        <v>973</v>
      </c>
      <c r="E122" s="11" t="s">
        <v>974</v>
      </c>
    </row>
    <row r="123" spans="2:5">
      <c r="B123" s="5" t="s">
        <v>975</v>
      </c>
      <c r="D123" s="5" t="s">
        <v>976</v>
      </c>
      <c r="E123" s="11" t="s">
        <v>977</v>
      </c>
    </row>
    <row r="124" spans="2:5">
      <c r="B124" s="5" t="s">
        <v>978</v>
      </c>
      <c r="E124" s="11" t="s">
        <v>979</v>
      </c>
    </row>
    <row r="125" spans="2:5">
      <c r="D125" s="5" t="s">
        <v>980</v>
      </c>
      <c r="E125" t="s">
        <v>981</v>
      </c>
    </row>
    <row r="126" spans="2:5">
      <c r="D126" s="5" t="s">
        <v>982</v>
      </c>
      <c r="E126" t="s">
        <v>983</v>
      </c>
    </row>
    <row r="127" ht="27" spans="2:5">
      <c r="B127" s="5" t="s">
        <v>984</v>
      </c>
      <c r="D127" s="5" t="s">
        <v>985</v>
      </c>
      <c r="E127" s="11" t="s">
        <v>986</v>
      </c>
    </row>
    <row r="128" spans="2:5">
      <c r="B128" s="5" t="s">
        <v>987</v>
      </c>
      <c r="D128" s="5" t="s">
        <v>988</v>
      </c>
      <c r="E128" t="s">
        <v>989</v>
      </c>
    </row>
    <row r="130" spans="1:5">
      <c r="B130" s="7" t="s">
        <v>990</v>
      </c>
      <c r="E130" s="6" t="s">
        <v>991</v>
      </c>
    </row>
    <row r="131" spans="1:5">
      <c r="B131" s="7"/>
      <c r="E131" s="12" t="s">
        <v>992</v>
      </c>
    </row>
    <row r="132" spans="1:5">
      <c r="E132" s="6"/>
    </row>
    <row r="133" spans="1:5">
      <c r="A133" s="13"/>
    </row>
    <row r="135" spans="1:5">
      <c r="B135" s="5" t="s">
        <v>993</v>
      </c>
      <c r="E135" s="6" t="s">
        <v>994</v>
      </c>
    </row>
    <row r="136" spans="1:5">
      <c r="B136" s="5" t="s">
        <v>995</v>
      </c>
      <c r="E136" t="s">
        <v>996</v>
      </c>
    </row>
    <row r="137" spans="1:5">
      <c r="E137" t="s">
        <v>997</v>
      </c>
    </row>
    <row r="138" spans="1:5">
      <c r="C138" s="5" t="s">
        <v>743</v>
      </c>
      <c r="E138" t="s">
        <v>998</v>
      </c>
    </row>
    <row r="139" spans="1:5">
      <c r="C139" s="5" t="s">
        <v>743</v>
      </c>
      <c r="E139" s="6" t="s">
        <v>999</v>
      </c>
    </row>
    <row r="140" spans="1:5">
      <c r="C140" s="5" t="s">
        <v>743</v>
      </c>
      <c r="E140" s="6" t="s">
        <v>1000</v>
      </c>
    </row>
    <row r="141" spans="1:5">
      <c r="B141" s="5" t="s">
        <v>1001</v>
      </c>
      <c r="C141" s="5" t="s">
        <v>743</v>
      </c>
      <c r="E141" s="6" t="s">
        <v>1002</v>
      </c>
    </row>
    <row r="142" spans="1:5">
      <c r="C142" s="5" t="s">
        <v>743</v>
      </c>
      <c r="E142" s="6" t="s">
        <v>1003</v>
      </c>
    </row>
    <row r="143" spans="1:5">
      <c r="E143" s="6" t="s">
        <v>1004</v>
      </c>
    </row>
    <row r="144" spans="1:5">
      <c r="E144" s="6" t="s">
        <v>1005</v>
      </c>
    </row>
    <row r="145" spans="1:5">
      <c r="B145" s="7" t="s">
        <v>1006</v>
      </c>
      <c r="E145" t="s">
        <v>1007</v>
      </c>
    </row>
    <row r="146" spans="1:5">
      <c r="B146" s="7" t="s">
        <v>1008</v>
      </c>
      <c r="E146" t="s">
        <v>1009</v>
      </c>
    </row>
    <row r="147" spans="1:5">
      <c r="B147" s="7"/>
      <c r="E147" t="s">
        <v>1010</v>
      </c>
    </row>
    <row r="148" spans="1:5">
      <c r="B148" s="7" t="s">
        <v>470</v>
      </c>
      <c r="E148" t="s">
        <v>1011</v>
      </c>
    </row>
    <row r="149" spans="1:5">
      <c r="B149" s="7" t="s">
        <v>1012</v>
      </c>
      <c r="E149" t="s">
        <v>1013</v>
      </c>
    </row>
    <row r="150" spans="1:5">
      <c r="B150" s="7" t="s">
        <v>987</v>
      </c>
      <c r="E150" t="s">
        <v>1014</v>
      </c>
    </row>
    <row r="151" spans="1:5">
      <c r="B151" s="7" t="s">
        <v>1015</v>
      </c>
      <c r="E151" t="s">
        <v>1016</v>
      </c>
    </row>
    <row r="152" spans="1:5">
      <c r="B152" s="7" t="s">
        <v>1017</v>
      </c>
      <c r="E152" t="s">
        <v>1018</v>
      </c>
    </row>
    <row r="153" ht="15" spans="1:5">
      <c r="A153" s="5" t="s">
        <v>730</v>
      </c>
      <c r="B153" s="14"/>
      <c r="C153" s="5" t="s">
        <v>710</v>
      </c>
      <c r="E153" t="s">
        <v>1019</v>
      </c>
    </row>
    <row r="154" spans="1:5">
      <c r="A154" s="5" t="s">
        <v>730</v>
      </c>
      <c r="C154" s="5" t="s">
        <v>710</v>
      </c>
      <c r="E154" t="s">
        <v>1020</v>
      </c>
    </row>
    <row r="155" spans="1:5">
      <c r="A155" s="5" t="s">
        <v>730</v>
      </c>
      <c r="C155" s="5" t="s">
        <v>710</v>
      </c>
      <c r="E155" t="s">
        <v>1021</v>
      </c>
    </row>
    <row r="156" spans="1:5">
      <c r="A156" s="5" t="s">
        <v>730</v>
      </c>
      <c r="C156" s="5" t="s">
        <v>710</v>
      </c>
      <c r="E156" t="s">
        <v>1022</v>
      </c>
    </row>
    <row r="157" spans="1:5">
      <c r="A157" s="5" t="s">
        <v>730</v>
      </c>
      <c r="C157" s="5" t="s">
        <v>710</v>
      </c>
      <c r="E157" t="s">
        <v>1023</v>
      </c>
    </row>
    <row r="158" spans="1:5">
      <c r="A158" s="5" t="s">
        <v>730</v>
      </c>
      <c r="C158" s="5" t="s">
        <v>710</v>
      </c>
      <c r="E158" t="s">
        <v>1024</v>
      </c>
    </row>
    <row r="167" spans="1:5">
      <c r="A167" s="5" t="s">
        <v>730</v>
      </c>
    </row>
    <row r="168" spans="1:5">
      <c r="A168" s="5" t="s">
        <v>730</v>
      </c>
      <c r="B168" s="5" t="s">
        <v>1012</v>
      </c>
      <c r="C168" s="5" t="s">
        <v>1025</v>
      </c>
      <c r="E168" t="s">
        <v>1026</v>
      </c>
    </row>
    <row r="170" spans="1:5">
      <c r="B170" s="5" t="s">
        <v>1027</v>
      </c>
      <c r="E170" t="s">
        <v>1028</v>
      </c>
    </row>
    <row r="171" spans="1:5">
      <c r="B171" s="5" t="s">
        <v>1029</v>
      </c>
      <c r="E171" t="s">
        <v>1030</v>
      </c>
    </row>
    <row r="172" spans="1:5">
      <c r="B172" s="8" t="s">
        <v>1031</v>
      </c>
      <c r="E172" t="s">
        <v>1032</v>
      </c>
    </row>
    <row r="173" spans="1:5">
      <c r="B173" s="5" t="s">
        <v>1033</v>
      </c>
      <c r="E173" t="s">
        <v>1034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745"/>
  <sheetViews>
    <sheetView topLeftCell="A19" workbookViewId="0">
      <selection activeCell="A4" sqref="A4:A6"/>
    </sheetView>
  </sheetViews>
  <sheetFormatPr defaultColWidth="9" defaultRowHeight="13.5"/>
  <cols>
    <col min="1" max="1" width="30.625" style="1" customWidth="1"/>
    <col min="2" max="3" width="11.75" style="1" customWidth="1"/>
    <col min="4" max="4" width="17.6333333333333" style="1" customWidth="1"/>
    <col min="5" max="5" width="23" style="1" customWidth="1"/>
    <col min="6" max="16" width="9" style="1"/>
    <col min="17" max="17" width="15" style="1" customWidth="1"/>
    <col min="18" max="22" width="12.6333333333333" style="1" customWidth="1"/>
    <col min="23" max="16384" width="9" style="1"/>
  </cols>
  <sheetData>
    <row r="1" s="1" customFormat="1" spans="1:26">
      <c r="A1" s="1" t="s">
        <v>1035</v>
      </c>
      <c r="B1" s="1" t="s">
        <v>10</v>
      </c>
      <c r="E1" s="1" t="s">
        <v>1036</v>
      </c>
      <c r="G1" s="1" t="s">
        <v>11</v>
      </c>
      <c r="L1" s="1" t="s">
        <v>1037</v>
      </c>
      <c r="M1" s="1" t="s">
        <v>305</v>
      </c>
      <c r="Q1" s="1" t="s">
        <v>160</v>
      </c>
      <c r="R1" s="1" t="s">
        <v>1038</v>
      </c>
      <c r="V1"/>
      <c r="W1"/>
      <c r="X1"/>
      <c r="Y1"/>
      <c r="Z1"/>
    </row>
    <row r="2" s="1" customFormat="1" ht="14.25" spans="1:26">
      <c r="A2" s="1" t="s">
        <v>383</v>
      </c>
      <c r="B2" s="1" t="s">
        <v>1039</v>
      </c>
      <c r="E2" s="1" t="s">
        <v>383</v>
      </c>
      <c r="F2" s="1" t="s">
        <v>1039</v>
      </c>
      <c r="L2" s="2" t="s">
        <v>1040</v>
      </c>
      <c r="M2" s="3">
        <v>0.2</v>
      </c>
      <c r="Q2" s="1" t="s">
        <v>1041</v>
      </c>
      <c r="R2" s="1" t="s">
        <v>1042</v>
      </c>
      <c r="V2"/>
      <c r="W2"/>
      <c r="X2"/>
      <c r="Y2"/>
      <c r="Z2"/>
    </row>
    <row r="3" s="1" customFormat="1" spans="1:26">
      <c r="A3" s="1" t="s">
        <v>1043</v>
      </c>
      <c r="B3" s="1" t="s">
        <v>291</v>
      </c>
      <c r="D3" s="1" t="s">
        <v>128</v>
      </c>
      <c r="E3" s="1" t="s">
        <v>1043</v>
      </c>
      <c r="F3" s="1" t="s">
        <v>291</v>
      </c>
      <c r="H3" s="1" t="s">
        <v>128</v>
      </c>
      <c r="L3" s="1" t="s">
        <v>1044</v>
      </c>
      <c r="M3" s="3">
        <v>0.35</v>
      </c>
      <c r="Q3" s="1" t="s">
        <v>1045</v>
      </c>
      <c r="R3" s="1" t="s">
        <v>1046</v>
      </c>
      <c r="V3"/>
      <c r="W3"/>
      <c r="X3"/>
      <c r="Y3"/>
      <c r="Z3"/>
    </row>
    <row r="4" s="1" customFormat="1" spans="1:26">
      <c r="A4" s="1" t="s">
        <v>10</v>
      </c>
      <c r="B4" s="1" t="s">
        <v>1047</v>
      </c>
      <c r="C4" s="1" t="s">
        <v>392</v>
      </c>
      <c r="D4" s="1" t="s">
        <v>450</v>
      </c>
      <c r="E4" s="1" t="s">
        <v>11</v>
      </c>
      <c r="F4" s="1" t="s">
        <v>1047</v>
      </c>
      <c r="G4" s="1" t="s">
        <v>392</v>
      </c>
      <c r="H4" s="1" t="s">
        <v>450</v>
      </c>
      <c r="L4" s="1" t="s">
        <v>1048</v>
      </c>
      <c r="M4" s="3">
        <v>0.5</v>
      </c>
      <c r="Q4" s="1" t="s">
        <v>1049</v>
      </c>
      <c r="R4" s="1" t="s">
        <v>1050</v>
      </c>
      <c r="V4"/>
      <c r="W4"/>
      <c r="X4"/>
      <c r="Y4"/>
      <c r="Z4"/>
    </row>
    <row r="5" s="1" customFormat="1" spans="1:26">
      <c r="A5" s="1" t="s">
        <v>12</v>
      </c>
      <c r="B5" s="1" t="s">
        <v>1047</v>
      </c>
      <c r="C5" s="1" t="s">
        <v>392</v>
      </c>
      <c r="D5" s="1" t="s">
        <v>450</v>
      </c>
      <c r="E5" s="1" t="s">
        <v>13</v>
      </c>
      <c r="F5" s="1" t="s">
        <v>1047</v>
      </c>
      <c r="G5" s="1" t="s">
        <v>392</v>
      </c>
      <c r="H5" s="1" t="s">
        <v>450</v>
      </c>
      <c r="L5" s="1" t="s">
        <v>1051</v>
      </c>
      <c r="M5" s="3">
        <v>0.75</v>
      </c>
      <c r="Q5" s="1" t="s">
        <v>1052</v>
      </c>
      <c r="R5" s="1" t="s">
        <v>1053</v>
      </c>
      <c r="V5"/>
      <c r="W5"/>
      <c r="X5"/>
      <c r="Y5"/>
      <c r="Z5"/>
    </row>
    <row r="6" s="1" customFormat="1" spans="1:26">
      <c r="A6" s="1" t="s">
        <v>14</v>
      </c>
      <c r="B6" s="1" t="s">
        <v>1047</v>
      </c>
      <c r="C6" s="1" t="s">
        <v>392</v>
      </c>
      <c r="D6" s="1" t="s">
        <v>450</v>
      </c>
      <c r="E6" s="1" t="s">
        <v>9</v>
      </c>
      <c r="F6" s="1" t="s">
        <v>1047</v>
      </c>
      <c r="G6" s="1" t="s">
        <v>392</v>
      </c>
      <c r="H6" s="1" t="s">
        <v>450</v>
      </c>
      <c r="L6" s="1" t="s">
        <v>1054</v>
      </c>
      <c r="M6" s="3">
        <v>1</v>
      </c>
      <c r="Q6" s="1" t="s">
        <v>1055</v>
      </c>
      <c r="R6" s="1" t="s">
        <v>1056</v>
      </c>
      <c r="V6"/>
      <c r="W6"/>
      <c r="X6"/>
      <c r="Y6"/>
      <c r="Z6"/>
    </row>
    <row r="7" s="1" customFormat="1" spans="1:26">
      <c r="A7" s="1" t="s">
        <v>1057</v>
      </c>
      <c r="B7" s="1" t="s">
        <v>1047</v>
      </c>
      <c r="C7" s="1" t="s">
        <v>392</v>
      </c>
      <c r="D7" s="1" t="s">
        <v>1058</v>
      </c>
      <c r="E7" s="1" t="s">
        <v>1057</v>
      </c>
      <c r="F7" s="1" t="s">
        <v>1047</v>
      </c>
      <c r="G7" s="1" t="s">
        <v>392</v>
      </c>
      <c r="H7" s="1" t="s">
        <v>1058</v>
      </c>
      <c r="Q7"/>
      <c r="R7"/>
      <c r="S7"/>
      <c r="T7"/>
      <c r="U7"/>
      <c r="V7"/>
      <c r="W7"/>
      <c r="X7"/>
      <c r="Y7"/>
      <c r="Z7"/>
    </row>
    <row r="8" s="1" customFormat="1" spans="1:26">
      <c r="A8" s="1" t="s">
        <v>87</v>
      </c>
      <c r="B8" s="1" t="s">
        <v>1047</v>
      </c>
      <c r="C8" s="1" t="s">
        <v>392</v>
      </c>
      <c r="D8" s="1" t="s">
        <v>1059</v>
      </c>
      <c r="E8" s="1" t="s">
        <v>89</v>
      </c>
      <c r="F8" s="1" t="s">
        <v>1047</v>
      </c>
      <c r="G8" s="1" t="s">
        <v>392</v>
      </c>
      <c r="H8" s="1" t="s">
        <v>1059</v>
      </c>
      <c r="Q8"/>
      <c r="R8"/>
      <c r="S8"/>
      <c r="T8"/>
      <c r="U8"/>
      <c r="V8"/>
      <c r="W8"/>
      <c r="X8"/>
      <c r="Y8"/>
      <c r="Z8"/>
    </row>
    <row r="9" s="1" customFormat="1" spans="1:26">
      <c r="A9" s="1" t="s">
        <v>0</v>
      </c>
      <c r="B9" s="1" t="s">
        <v>327</v>
      </c>
      <c r="E9" s="1" t="s">
        <v>36</v>
      </c>
      <c r="F9" s="1" t="s">
        <v>327</v>
      </c>
      <c r="Q9"/>
      <c r="R9"/>
      <c r="S9"/>
      <c r="T9"/>
      <c r="U9"/>
      <c r="V9"/>
      <c r="W9"/>
      <c r="X9"/>
      <c r="Y9"/>
      <c r="Z9"/>
    </row>
    <row r="10" s="1" customFormat="1" spans="1:26">
      <c r="A10" s="1" t="s">
        <v>72</v>
      </c>
      <c r="B10" s="1" t="s">
        <v>327</v>
      </c>
      <c r="D10" s="1" t="s">
        <v>1060</v>
      </c>
      <c r="E10" s="1" t="s">
        <v>83</v>
      </c>
      <c r="F10" s="1" t="s">
        <v>327</v>
      </c>
      <c r="H10" s="1" t="s">
        <v>1060</v>
      </c>
      <c r="Q10"/>
      <c r="R10"/>
      <c r="S10"/>
      <c r="T10"/>
      <c r="U10"/>
      <c r="V10"/>
      <c r="W10"/>
      <c r="X10"/>
      <c r="Y10"/>
      <c r="Z10"/>
    </row>
    <row r="11" s="1" customFormat="1" spans="1:26">
      <c r="A11" s="1" t="s">
        <v>15</v>
      </c>
      <c r="B11" s="1" t="s">
        <v>327</v>
      </c>
      <c r="D11" s="1" t="s">
        <v>1058</v>
      </c>
      <c r="E11" s="1" t="s">
        <v>41</v>
      </c>
      <c r="F11" s="1" t="s">
        <v>327</v>
      </c>
      <c r="H11" s="1" t="s">
        <v>1058</v>
      </c>
      <c r="Q11"/>
      <c r="R11"/>
      <c r="S11"/>
      <c r="T11"/>
      <c r="U11"/>
      <c r="V11"/>
      <c r="W11"/>
      <c r="X11"/>
      <c r="Y11"/>
      <c r="Z11"/>
    </row>
    <row r="12" s="1" customFormat="1" spans="1:26">
      <c r="A12" s="1" t="s">
        <v>87</v>
      </c>
      <c r="B12" s="1" t="s">
        <v>327</v>
      </c>
      <c r="D12" s="1" t="s">
        <v>1059</v>
      </c>
      <c r="E12" s="1" t="s">
        <v>89</v>
      </c>
      <c r="H12" s="1" t="s">
        <v>1059</v>
      </c>
      <c r="Q12"/>
      <c r="R12"/>
      <c r="S12"/>
      <c r="T12"/>
      <c r="U12"/>
      <c r="V12"/>
      <c r="W12"/>
      <c r="X12"/>
      <c r="Y12"/>
      <c r="Z12"/>
    </row>
    <row r="13" s="1" customFormat="1" spans="1:26">
      <c r="Q13"/>
      <c r="R13"/>
      <c r="S13"/>
      <c r="T13"/>
      <c r="U13"/>
      <c r="V13"/>
      <c r="W13"/>
      <c r="X13"/>
      <c r="Y13"/>
      <c r="Z13"/>
    </row>
    <row r="18" s="1" customFormat="1" spans="1:29">
      <c r="J18" s="1" t="s">
        <v>1061</v>
      </c>
      <c r="K18" s="1" t="s">
        <v>1062</v>
      </c>
    </row>
    <row r="19" s="1" customFormat="1" spans="1:29">
      <c r="J19" s="1" t="s">
        <v>1063</v>
      </c>
      <c r="K19" s="1" t="s">
        <v>1064</v>
      </c>
    </row>
    <row r="20" s="1" customFormat="1" spans="1:29">
      <c r="A20" s="1" t="s">
        <v>1065</v>
      </c>
      <c r="J20" s="1" t="s">
        <v>1066</v>
      </c>
      <c r="K20" s="1" t="s">
        <v>1067</v>
      </c>
    </row>
    <row r="21" s="1" customFormat="1" spans="1:29">
      <c r="J21" s="1" t="s">
        <v>1068</v>
      </c>
      <c r="K21" s="1" t="s">
        <v>1069</v>
      </c>
      <c r="Q21" s="1" t="s">
        <v>1070</v>
      </c>
    </row>
    <row r="22" s="1" customFormat="1" spans="1:29">
      <c r="J22" s="1" t="s">
        <v>1071</v>
      </c>
      <c r="K22" s="1" t="s">
        <v>1072</v>
      </c>
    </row>
    <row r="26" s="1" customFormat="1" spans="1:29">
      <c r="V26"/>
      <c r="W26"/>
      <c r="X26"/>
      <c r="Y26"/>
      <c r="Z26"/>
      <c r="AA26"/>
      <c r="AB26"/>
      <c r="AC26"/>
    </row>
    <row r="27" s="1" customFormat="1" spans="1:29">
      <c r="V27"/>
      <c r="W27"/>
      <c r="X27"/>
      <c r="Y27"/>
      <c r="Z27"/>
      <c r="AA27"/>
      <c r="AB27"/>
      <c r="AC27"/>
    </row>
    <row r="28" s="1" customFormat="1" spans="1:29">
      <c r="V28"/>
      <c r="W28"/>
      <c r="X28"/>
      <c r="Y28"/>
      <c r="Z28"/>
      <c r="AA28"/>
      <c r="AB28"/>
      <c r="AC28"/>
    </row>
    <row r="29" s="1" customFormat="1" spans="1:29">
      <c r="D29" s="4"/>
      <c r="E29" s="4"/>
      <c r="F29" s="4"/>
      <c r="V29"/>
      <c r="W29"/>
      <c r="X29"/>
      <c r="Y29"/>
      <c r="Z29"/>
      <c r="AA29"/>
      <c r="AB29"/>
      <c r="AC29"/>
    </row>
    <row r="30" s="1" customFormat="1" spans="1:29">
      <c r="Q30" t="s">
        <v>1073</v>
      </c>
      <c r="V30"/>
      <c r="W30"/>
      <c r="X30"/>
      <c r="Y30"/>
      <c r="Z30"/>
      <c r="AA30"/>
      <c r="AB30"/>
      <c r="AC30"/>
    </row>
    <row r="31" s="1" customFormat="1" spans="1:29">
      <c r="Q31" t="s">
        <v>1074</v>
      </c>
      <c r="V31"/>
      <c r="W31"/>
      <c r="X31"/>
      <c r="Y31"/>
      <c r="Z31"/>
      <c r="AA31"/>
      <c r="AB31"/>
      <c r="AC31"/>
    </row>
    <row r="32" s="1" customFormat="1" spans="1:29">
      <c r="Q32" t="s">
        <v>1061</v>
      </c>
      <c r="V32"/>
      <c r="W32"/>
      <c r="X32"/>
      <c r="Y32"/>
      <c r="Z32"/>
      <c r="AA32"/>
      <c r="AB32"/>
      <c r="AC32"/>
    </row>
    <row r="33" s="1" customFormat="1" spans="10:29">
      <c r="J33" s="1" t="s">
        <v>1075</v>
      </c>
      <c r="Q33" t="s">
        <v>1076</v>
      </c>
      <c r="V33"/>
      <c r="W33"/>
      <c r="X33"/>
      <c r="Y33"/>
      <c r="Z33"/>
      <c r="AA33"/>
      <c r="AB33"/>
      <c r="AC33"/>
    </row>
    <row r="34" s="1" customFormat="1" spans="10:29">
      <c r="J34" s="1" t="s">
        <v>1077</v>
      </c>
      <c r="Q34" t="s">
        <v>1063</v>
      </c>
      <c r="V34"/>
      <c r="W34"/>
      <c r="X34"/>
      <c r="Y34"/>
      <c r="Z34"/>
      <c r="AA34"/>
      <c r="AB34"/>
      <c r="AC34"/>
    </row>
    <row r="35" s="1" customFormat="1" spans="10:29">
      <c r="J35" s="1" t="s">
        <v>1078</v>
      </c>
      <c r="Q35" t="s">
        <v>1079</v>
      </c>
      <c r="V35"/>
      <c r="W35"/>
      <c r="X35"/>
      <c r="Y35"/>
      <c r="Z35"/>
      <c r="AA35"/>
      <c r="AB35"/>
      <c r="AC35"/>
    </row>
    <row r="36" s="1" customFormat="1" spans="10:29">
      <c r="Q36" t="s">
        <v>1066</v>
      </c>
      <c r="V36"/>
      <c r="W36"/>
      <c r="X36"/>
      <c r="Y36"/>
      <c r="Z36"/>
      <c r="AA36"/>
      <c r="AB36"/>
      <c r="AC36"/>
    </row>
    <row r="37" s="1" customFormat="1" spans="10:29">
      <c r="J37" s="1" t="s">
        <v>383</v>
      </c>
      <c r="Q37" t="s">
        <v>1080</v>
      </c>
      <c r="V37"/>
      <c r="W37"/>
      <c r="X37"/>
      <c r="Y37"/>
      <c r="Z37"/>
      <c r="AA37"/>
      <c r="AB37"/>
      <c r="AC37"/>
    </row>
    <row r="38" s="1" customFormat="1" spans="10:29">
      <c r="J38" s="1" t="s">
        <v>1081</v>
      </c>
      <c r="K38" s="1" t="s">
        <v>1082</v>
      </c>
      <c r="Q38" t="s">
        <v>1068</v>
      </c>
      <c r="V38"/>
      <c r="W38"/>
      <c r="X38"/>
      <c r="Y38"/>
      <c r="Z38"/>
      <c r="AA38"/>
      <c r="AB38"/>
      <c r="AC38"/>
    </row>
    <row r="39" s="1" customFormat="1" spans="10:29">
      <c r="J39" s="1" t="s">
        <v>1083</v>
      </c>
      <c r="K39" s="1">
        <v>125</v>
      </c>
      <c r="Q39" t="s">
        <v>1084</v>
      </c>
      <c r="V39"/>
      <c r="W39"/>
      <c r="X39"/>
      <c r="Y39"/>
      <c r="Z39"/>
      <c r="AA39"/>
      <c r="AB39"/>
      <c r="AC39"/>
    </row>
    <row r="40" s="1" customFormat="1" spans="10:29">
      <c r="V40"/>
      <c r="W40"/>
      <c r="X40"/>
      <c r="Y40"/>
      <c r="Z40"/>
      <c r="AA40"/>
      <c r="AB40"/>
      <c r="AC40"/>
    </row>
    <row r="41" s="1" customFormat="1" spans="10:29">
      <c r="V41"/>
      <c r="W41"/>
      <c r="X41"/>
      <c r="Y41"/>
      <c r="Z41"/>
      <c r="AA41"/>
      <c r="AB41"/>
      <c r="AC41"/>
    </row>
    <row r="42" s="1" customFormat="1" spans="10:29">
      <c r="V42"/>
      <c r="W42"/>
      <c r="X42"/>
      <c r="Y42"/>
      <c r="Z42"/>
      <c r="AA42"/>
      <c r="AB42"/>
      <c r="AC42"/>
    </row>
    <row r="43" s="1" customFormat="1" spans="10:29">
      <c r="V43"/>
      <c r="W43"/>
      <c r="X43"/>
      <c r="Y43"/>
      <c r="Z43"/>
      <c r="AA43"/>
      <c r="AB43"/>
      <c r="AC43"/>
    </row>
    <row r="44" s="1" customFormat="1" spans="10:29">
      <c r="V44"/>
      <c r="W44"/>
      <c r="X44"/>
      <c r="Y44"/>
      <c r="Z44"/>
      <c r="AA44"/>
      <c r="AB44"/>
      <c r="AC44"/>
    </row>
    <row r="45" s="1" customFormat="1" spans="10:29">
      <c r="V45"/>
      <c r="W45"/>
      <c r="X45"/>
      <c r="Y45"/>
      <c r="Z45"/>
      <c r="AA45"/>
      <c r="AB45"/>
      <c r="AC45"/>
    </row>
    <row r="46" s="1" customFormat="1" spans="10:29">
      <c r="N46"/>
      <c r="V46"/>
      <c r="W46"/>
      <c r="X46"/>
      <c r="Y46"/>
      <c r="Z46"/>
      <c r="AA46"/>
      <c r="AB46"/>
      <c r="AC46"/>
    </row>
    <row r="47" s="1" customFormat="1" spans="10:29">
      <c r="N47"/>
      <c r="V47"/>
      <c r="W47"/>
      <c r="X47"/>
      <c r="Y47"/>
      <c r="Z47"/>
      <c r="AA47"/>
      <c r="AB47"/>
      <c r="AC47"/>
    </row>
    <row r="48" s="1" customFormat="1" spans="10:29">
      <c r="N48"/>
      <c r="V48"/>
      <c r="W48"/>
      <c r="X48"/>
      <c r="Y48"/>
      <c r="Z48"/>
      <c r="AA48"/>
      <c r="AB48"/>
      <c r="AC48"/>
    </row>
    <row r="49" s="1" customFormat="1" spans="14:29">
      <c r="N49"/>
      <c r="V49"/>
      <c r="W49"/>
      <c r="X49"/>
      <c r="Y49"/>
      <c r="Z49"/>
      <c r="AA49"/>
      <c r="AB49"/>
      <c r="AC49"/>
    </row>
    <row r="50" s="1" customFormat="1" spans="14:29">
      <c r="N50"/>
      <c r="V50"/>
      <c r="W50"/>
      <c r="X50"/>
      <c r="Y50"/>
      <c r="Z50"/>
      <c r="AA50"/>
      <c r="AB50"/>
      <c r="AC50"/>
    </row>
    <row r="51" s="1" customFormat="1" spans="14:29">
      <c r="N51"/>
      <c r="V51"/>
      <c r="W51"/>
      <c r="X51"/>
      <c r="Y51"/>
      <c r="Z51"/>
      <c r="AA51"/>
      <c r="AB51"/>
      <c r="AC51"/>
    </row>
    <row r="52" s="1" customFormat="1" spans="14:29">
      <c r="N52"/>
      <c r="V52"/>
      <c r="W52"/>
      <c r="X52"/>
      <c r="Y52"/>
      <c r="Z52"/>
      <c r="AA52"/>
      <c r="AB52"/>
      <c r="AC52"/>
    </row>
    <row r="53" s="1" customFormat="1" spans="14:29">
      <c r="N53"/>
      <c r="V53"/>
      <c r="W53"/>
      <c r="X53"/>
      <c r="Y53"/>
      <c r="Z53"/>
      <c r="AA53"/>
      <c r="AB53"/>
      <c r="AC53"/>
    </row>
    <row r="54" s="1" customFormat="1" spans="14:29">
      <c r="N54"/>
      <c r="V54"/>
      <c r="W54"/>
      <c r="X54"/>
      <c r="Y54"/>
      <c r="Z54"/>
      <c r="AA54"/>
      <c r="AB54"/>
      <c r="AC54"/>
    </row>
    <row r="55" s="1" customFormat="1" spans="14:29">
      <c r="N55"/>
      <c r="V55"/>
      <c r="W55"/>
      <c r="X55"/>
      <c r="Y55"/>
      <c r="Z55"/>
      <c r="AA55"/>
      <c r="AB55"/>
      <c r="AC55"/>
    </row>
    <row r="56" s="1" customFormat="1" spans="14:29">
      <c r="N56"/>
      <c r="V56"/>
      <c r="W56"/>
      <c r="X56"/>
      <c r="Y56"/>
      <c r="Z56"/>
      <c r="AA56"/>
      <c r="AB56"/>
      <c r="AC56"/>
    </row>
    <row r="57" s="1" customFormat="1" spans="14:29">
      <c r="N57"/>
      <c r="V57"/>
      <c r="W57"/>
      <c r="X57"/>
      <c r="Y57"/>
      <c r="Z57"/>
      <c r="AA57"/>
      <c r="AB57"/>
      <c r="AC57"/>
    </row>
    <row r="58" s="1" customFormat="1" spans="14:29">
      <c r="N58"/>
      <c r="V58"/>
      <c r="W58"/>
      <c r="X58"/>
      <c r="Y58"/>
      <c r="Z58"/>
      <c r="AA58"/>
      <c r="AB58"/>
      <c r="AC58"/>
    </row>
    <row r="59" s="1" customFormat="1" spans="14:29">
      <c r="N59"/>
      <c r="V59"/>
      <c r="W59"/>
      <c r="X59"/>
      <c r="Y59"/>
      <c r="Z59"/>
      <c r="AA59"/>
      <c r="AB59"/>
      <c r="AC59"/>
    </row>
    <row r="60" s="1" customFormat="1" spans="14:29">
      <c r="N60"/>
      <c r="V60"/>
      <c r="W60"/>
      <c r="X60"/>
      <c r="Y60"/>
      <c r="Z60"/>
      <c r="AA60"/>
      <c r="AB60"/>
      <c r="AC60"/>
    </row>
    <row r="61" s="1" customFormat="1" spans="14:29">
      <c r="N61"/>
      <c r="V61"/>
      <c r="W61"/>
      <c r="X61"/>
      <c r="Y61"/>
      <c r="Z61"/>
      <c r="AA61"/>
      <c r="AB61"/>
      <c r="AC61"/>
    </row>
    <row r="62" s="1" customFormat="1" spans="14:29">
      <c r="N62"/>
      <c r="V62"/>
      <c r="W62"/>
      <c r="X62"/>
      <c r="Y62"/>
      <c r="Z62"/>
      <c r="AA62"/>
      <c r="AB62"/>
      <c r="AC62"/>
    </row>
    <row r="63" s="1" customFormat="1" spans="14:29">
      <c r="N63"/>
      <c r="V63"/>
      <c r="W63"/>
      <c r="X63"/>
      <c r="Y63"/>
      <c r="Z63"/>
      <c r="AA63"/>
      <c r="AB63"/>
      <c r="AC63"/>
    </row>
    <row r="64" s="1" customFormat="1" spans="14:29">
      <c r="N64"/>
      <c r="V64"/>
      <c r="W64"/>
      <c r="X64"/>
      <c r="Y64"/>
      <c r="Z64"/>
      <c r="AA64"/>
      <c r="AB64"/>
      <c r="AC64"/>
    </row>
    <row r="65" s="1" customFormat="1" spans="14:29">
      <c r="N65"/>
      <c r="V65"/>
      <c r="W65"/>
      <c r="X65"/>
      <c r="Y65"/>
      <c r="Z65"/>
      <c r="AA65"/>
      <c r="AB65"/>
      <c r="AC65"/>
    </row>
    <row r="66" s="1" customFormat="1" spans="14:29">
      <c r="N66"/>
      <c r="V66"/>
      <c r="W66"/>
      <c r="X66"/>
      <c r="Y66"/>
      <c r="Z66"/>
      <c r="AA66"/>
      <c r="AB66"/>
      <c r="AC66"/>
    </row>
    <row r="67" s="1" customFormat="1" spans="14:29">
      <c r="N67"/>
      <c r="V67"/>
      <c r="W67"/>
      <c r="X67"/>
      <c r="Y67"/>
      <c r="Z67"/>
      <c r="AA67"/>
      <c r="AB67"/>
      <c r="AC67"/>
    </row>
    <row r="68" s="1" customFormat="1" spans="14:29">
      <c r="N68"/>
      <c r="V68"/>
      <c r="W68"/>
      <c r="X68"/>
      <c r="Y68"/>
      <c r="Z68"/>
      <c r="AA68"/>
      <c r="AB68"/>
      <c r="AC68"/>
    </row>
    <row r="69" s="1" customFormat="1" spans="14:29">
      <c r="N69"/>
      <c r="V69"/>
      <c r="W69"/>
      <c r="X69"/>
      <c r="Y69"/>
      <c r="Z69"/>
      <c r="AA69"/>
      <c r="AB69"/>
      <c r="AC69"/>
    </row>
    <row r="70" s="1" customFormat="1" spans="14:29">
      <c r="N70"/>
      <c r="V70"/>
      <c r="W70"/>
      <c r="X70"/>
      <c r="Y70"/>
      <c r="Z70"/>
      <c r="AA70"/>
      <c r="AB70"/>
      <c r="AC70"/>
    </row>
    <row r="71" s="1" customFormat="1" spans="14:29">
      <c r="N71"/>
      <c r="V71"/>
      <c r="W71"/>
      <c r="X71"/>
      <c r="Y71"/>
      <c r="Z71"/>
      <c r="AA71"/>
      <c r="AB71"/>
      <c r="AC71"/>
    </row>
    <row r="72" s="1" customFormat="1" spans="14:29">
      <c r="N72"/>
      <c r="V72"/>
      <c r="W72"/>
      <c r="X72"/>
      <c r="Y72"/>
      <c r="Z72"/>
      <c r="AA72"/>
      <c r="AB72"/>
      <c r="AC72"/>
    </row>
    <row r="73" s="1" customFormat="1" spans="14:29">
      <c r="N73"/>
      <c r="V73"/>
      <c r="W73"/>
      <c r="X73"/>
      <c r="Y73"/>
      <c r="Z73"/>
      <c r="AA73"/>
      <c r="AB73"/>
      <c r="AC73"/>
    </row>
    <row r="74" s="1" customFormat="1" spans="14:29">
      <c r="N74"/>
      <c r="V74"/>
      <c r="W74"/>
      <c r="X74"/>
      <c r="Y74"/>
      <c r="Z74"/>
      <c r="AA74"/>
      <c r="AB74"/>
      <c r="AC74"/>
    </row>
    <row r="75" s="1" customFormat="1" spans="14:29">
      <c r="N75"/>
      <c r="V75"/>
      <c r="W75"/>
      <c r="X75"/>
      <c r="Y75"/>
      <c r="Z75"/>
      <c r="AA75"/>
      <c r="AB75"/>
      <c r="AC75"/>
    </row>
    <row r="76" s="1" customFormat="1" spans="14:29">
      <c r="N76"/>
      <c r="V76"/>
      <c r="W76"/>
      <c r="X76"/>
      <c r="Y76"/>
      <c r="Z76"/>
      <c r="AA76"/>
      <c r="AB76"/>
      <c r="AC76"/>
    </row>
    <row r="77" s="1" customFormat="1" spans="14:29">
      <c r="N77"/>
      <c r="V77"/>
      <c r="W77"/>
      <c r="X77"/>
      <c r="Y77"/>
      <c r="Z77"/>
      <c r="AA77"/>
      <c r="AB77"/>
      <c r="AC77"/>
    </row>
    <row r="78" s="1" customFormat="1" spans="14:29">
      <c r="N78"/>
    </row>
    <row r="79" s="1" customFormat="1" spans="14:29">
      <c r="N79"/>
    </row>
    <row r="80" s="1" customFormat="1" spans="14:29">
      <c r="N80"/>
    </row>
    <row r="81" s="1" customFormat="1" spans="14:23">
      <c r="N81"/>
    </row>
    <row r="82" s="1" customFormat="1" spans="14:23">
      <c r="N82"/>
    </row>
    <row r="83" spans="14:23">
      <c r="N83"/>
    </row>
    <row r="84" s="1" customFormat="1" spans="14:23">
      <c r="N84"/>
    </row>
    <row r="85" s="1" customFormat="1" spans="14:23">
      <c r="N85"/>
    </row>
    <row r="86" s="1" customFormat="1" spans="14:23">
      <c r="N86"/>
    </row>
    <row r="87" s="1" customFormat="1" spans="14:23">
      <c r="N87"/>
    </row>
    <row r="88" s="1" customFormat="1" spans="14:23">
      <c r="N88"/>
    </row>
    <row r="89" s="1" customFormat="1" spans="14:23">
      <c r="N89"/>
    </row>
    <row r="90" s="1" customFormat="1" spans="14:23">
      <c r="N90"/>
      <c r="V90"/>
      <c r="W90"/>
    </row>
    <row r="91" s="1" customFormat="1" spans="14:23">
      <c r="N91"/>
      <c r="V91"/>
      <c r="W91"/>
    </row>
    <row r="92" s="1" customFormat="1" spans="14:23">
      <c r="N92"/>
      <c r="V92"/>
      <c r="W92"/>
    </row>
    <row r="93" s="1" customFormat="1" spans="14:23">
      <c r="N93"/>
      <c r="V93"/>
      <c r="W93"/>
    </row>
    <row r="94" s="1" customFormat="1" spans="14:23">
      <c r="N94"/>
      <c r="V94"/>
      <c r="W94"/>
    </row>
    <row r="95" spans="14:23">
      <c r="V95"/>
      <c r="W95"/>
    </row>
    <row r="96" s="1" customFormat="1" spans="14:23">
      <c r="V96"/>
      <c r="W96"/>
    </row>
    <row r="97" s="1" customFormat="1" spans="22:23">
      <c r="V97"/>
      <c r="W97"/>
    </row>
    <row r="98" s="1" customFormat="1" spans="22:23">
      <c r="V98"/>
      <c r="W98"/>
    </row>
    <row r="99" spans="22:23">
      <c r="V99"/>
      <c r="W99"/>
    </row>
    <row r="100" s="1" customFormat="1" spans="22:23">
      <c r="V100"/>
      <c r="W100"/>
    </row>
    <row r="101" spans="22:23">
      <c r="V101"/>
      <c r="W101"/>
    </row>
    <row r="102" s="1" customFormat="1" spans="22:23">
      <c r="V102"/>
      <c r="W102"/>
    </row>
    <row r="103" spans="22:23">
      <c r="V103"/>
      <c r="W103"/>
    </row>
    <row r="104" s="1" customFormat="1" spans="22:23">
      <c r="V104"/>
      <c r="W104"/>
    </row>
    <row r="105" spans="22:23">
      <c r="V105"/>
      <c r="W105"/>
    </row>
    <row r="106" s="1" customFormat="1" spans="22:23">
      <c r="V106"/>
      <c r="W106"/>
    </row>
    <row r="107" spans="22:23">
      <c r="V107"/>
      <c r="W107"/>
    </row>
    <row r="108" s="1" customFormat="1" spans="22:23">
      <c r="V108"/>
      <c r="W108"/>
    </row>
    <row r="109" s="1" customFormat="1" spans="22:23">
      <c r="V109"/>
      <c r="W109"/>
    </row>
    <row r="110" s="1" customFormat="1" spans="22:23">
      <c r="V110"/>
      <c r="W110"/>
    </row>
    <row r="111" s="1" customFormat="1" spans="22:23">
      <c r="V111"/>
      <c r="W111"/>
    </row>
    <row r="112" s="1" customFormat="1" spans="22:23">
      <c r="V112"/>
      <c r="W112"/>
    </row>
    <row r="113" s="1" customFormat="1" spans="22:23">
      <c r="V113"/>
      <c r="W113"/>
    </row>
    <row r="114" s="1" customFormat="1" spans="22:23">
      <c r="V114"/>
      <c r="W114"/>
    </row>
    <row r="115" spans="22:23">
      <c r="V115"/>
      <c r="W115"/>
    </row>
    <row r="116" s="1" customFormat="1" spans="22:23">
      <c r="V116"/>
      <c r="W116"/>
    </row>
    <row r="117" s="1" customFormat="1" spans="22:23">
      <c r="V117"/>
      <c r="W117"/>
    </row>
    <row r="118" s="1" customFormat="1" spans="22:23">
      <c r="V118"/>
      <c r="W118"/>
    </row>
    <row r="119" spans="22:23">
      <c r="V119"/>
      <c r="W119"/>
    </row>
    <row r="120" s="1" customFormat="1" spans="22:23">
      <c r="V120"/>
      <c r="W120"/>
    </row>
    <row r="121" spans="22:23">
      <c r="V121"/>
      <c r="W121"/>
    </row>
    <row r="122" s="1" customFormat="1" spans="22:23">
      <c r="V122"/>
      <c r="W122"/>
    </row>
    <row r="123" spans="22:23">
      <c r="V123"/>
      <c r="W123"/>
    </row>
    <row r="124" s="1" customFormat="1" spans="22:23">
      <c r="V124"/>
      <c r="W124"/>
    </row>
    <row r="125" s="1" customFormat="1" spans="22:23">
      <c r="V125"/>
      <c r="W125"/>
    </row>
    <row r="126" s="1" customFormat="1" spans="22:23">
      <c r="V126"/>
      <c r="W126"/>
    </row>
    <row r="127" s="1" customFormat="1" spans="22:23">
      <c r="V127"/>
      <c r="W127"/>
    </row>
    <row r="128" s="1" customFormat="1" spans="22:23">
      <c r="V128"/>
      <c r="W128"/>
    </row>
    <row r="129" s="1" customFormat="1" spans="22:23">
      <c r="V129"/>
      <c r="W129"/>
    </row>
    <row r="130" spans="22:23">
      <c r="V130"/>
      <c r="W130"/>
    </row>
    <row r="131" s="1" customFormat="1" spans="22:23">
      <c r="V131"/>
      <c r="W131"/>
    </row>
    <row r="132" spans="22:23">
      <c r="V132"/>
      <c r="W132"/>
    </row>
    <row r="133" s="1" customFormat="1" spans="22:23">
      <c r="V133"/>
      <c r="W133"/>
    </row>
    <row r="134" s="1" customFormat="1" spans="22:23">
      <c r="V134"/>
      <c r="W134"/>
    </row>
    <row r="135" s="1" customFormat="1" spans="22:23">
      <c r="V135"/>
      <c r="W135"/>
    </row>
    <row r="136" s="1" customFormat="1" spans="22:23">
      <c r="V136"/>
      <c r="W136"/>
    </row>
    <row r="137" s="1" customFormat="1" spans="22:23">
      <c r="V137"/>
      <c r="W137"/>
    </row>
    <row r="138" s="1" customFormat="1" spans="22:23">
      <c r="V138"/>
      <c r="W138"/>
    </row>
    <row r="139" spans="22:23">
      <c r="V139"/>
      <c r="W139"/>
    </row>
    <row r="140" s="1" customFormat="1" spans="22:23">
      <c r="V140"/>
      <c r="W140"/>
    </row>
    <row r="141" spans="22:23">
      <c r="V141"/>
      <c r="W141"/>
    </row>
    <row r="142" s="1" customFormat="1" spans="22:23">
      <c r="V142"/>
      <c r="W142"/>
    </row>
    <row r="143" spans="22:23">
      <c r="V143"/>
      <c r="W143"/>
    </row>
    <row r="144" s="1" customFormat="1" spans="22:23">
      <c r="V144"/>
      <c r="W144"/>
    </row>
    <row r="145" s="1" customFormat="1" spans="22:23">
      <c r="V145"/>
      <c r="W145"/>
    </row>
    <row r="146" spans="22:23">
      <c r="V146"/>
      <c r="W146"/>
    </row>
    <row r="147" s="1" customFormat="1" spans="22:23">
      <c r="V147"/>
      <c r="W147"/>
    </row>
    <row r="148" spans="22:23">
      <c r="V148"/>
      <c r="W148"/>
    </row>
    <row r="149" s="1" customFormat="1" spans="22:23">
      <c r="V149"/>
      <c r="W149"/>
    </row>
    <row r="150" spans="22:23">
      <c r="V150"/>
      <c r="W150"/>
    </row>
    <row r="151" s="1" customFormat="1" spans="22:23">
      <c r="V151"/>
      <c r="W151"/>
    </row>
    <row r="152" spans="22:23">
      <c r="V152"/>
      <c r="W152"/>
    </row>
    <row r="153" s="1" customFormat="1" spans="22:23">
      <c r="V153"/>
      <c r="W153"/>
    </row>
    <row r="154" s="1" customFormat="1" spans="22:23">
      <c r="V154"/>
      <c r="W154"/>
    </row>
    <row r="155" s="1" customFormat="1" spans="22:23">
      <c r="V155"/>
      <c r="W155"/>
    </row>
    <row r="156" s="1" customFormat="1" spans="22:23">
      <c r="V156"/>
      <c r="W156"/>
    </row>
    <row r="157" s="1" customFormat="1" spans="22:23">
      <c r="V157"/>
      <c r="W157"/>
    </row>
    <row r="158" s="1" customFormat="1" spans="22:23">
      <c r="V158"/>
      <c r="W158"/>
    </row>
    <row r="159" s="1" customFormat="1" spans="22:23">
      <c r="V159"/>
      <c r="W159"/>
    </row>
    <row r="160" spans="22:23">
      <c r="V160"/>
      <c r="W160"/>
    </row>
    <row r="161" s="1" customFormat="1" spans="22:23">
      <c r="V161"/>
      <c r="W161"/>
    </row>
    <row r="162" spans="22:23">
      <c r="V162"/>
      <c r="W162"/>
    </row>
    <row r="163" s="1" customFormat="1" spans="22:23">
      <c r="V163"/>
      <c r="W163"/>
    </row>
    <row r="164" spans="22:23">
      <c r="V164"/>
      <c r="W164"/>
    </row>
    <row r="165" s="1" customFormat="1" spans="22:23">
      <c r="V165"/>
      <c r="W165"/>
    </row>
    <row r="166" spans="22:23">
      <c r="V166"/>
      <c r="W166"/>
    </row>
    <row r="167" s="1" customFormat="1" spans="22:23">
      <c r="V167"/>
      <c r="W167"/>
    </row>
    <row r="168" s="1" customFormat="1" spans="22:23">
      <c r="V168"/>
      <c r="W168"/>
    </row>
    <row r="169" s="1" customFormat="1" spans="22:23">
      <c r="V169"/>
      <c r="W169"/>
    </row>
    <row r="170" s="1" customFormat="1" spans="22:23">
      <c r="V170"/>
      <c r="W170"/>
    </row>
    <row r="171" s="1" customFormat="1" spans="22:23">
      <c r="V171"/>
      <c r="W171"/>
    </row>
    <row r="172" s="1" customFormat="1" spans="22:23">
      <c r="V172"/>
      <c r="W172"/>
    </row>
    <row r="173" s="1" customFormat="1" spans="22:23">
      <c r="V173"/>
      <c r="W173"/>
    </row>
    <row r="174" spans="22:23">
      <c r="V174"/>
      <c r="W174"/>
    </row>
    <row r="175" s="1" customFormat="1" spans="22:23">
      <c r="V175"/>
      <c r="W175"/>
    </row>
    <row r="176" spans="22:23">
      <c r="V176"/>
      <c r="W176"/>
    </row>
    <row r="177" s="1" customFormat="1" spans="22:23">
      <c r="V177"/>
      <c r="W177"/>
    </row>
    <row r="178" spans="22:23">
      <c r="V178"/>
      <c r="W178"/>
    </row>
    <row r="179" s="1" customFormat="1" spans="22:23">
      <c r="V179"/>
      <c r="W179"/>
    </row>
    <row r="180" spans="22:23">
      <c r="V180"/>
      <c r="W180"/>
    </row>
    <row r="181" s="1" customFormat="1" spans="22:23">
      <c r="V181"/>
      <c r="W181"/>
    </row>
    <row r="182" s="1" customFormat="1" spans="22:23">
      <c r="V182"/>
      <c r="W182"/>
    </row>
    <row r="183" s="1" customFormat="1" spans="22:23">
      <c r="V183"/>
      <c r="W183"/>
    </row>
    <row r="184" s="1" customFormat="1" spans="22:23">
      <c r="V184"/>
      <c r="W184"/>
    </row>
    <row r="185" s="1" customFormat="1" spans="22:23">
      <c r="V185"/>
      <c r="W185"/>
    </row>
    <row r="186" s="1" customFormat="1" spans="22:23">
      <c r="V186"/>
      <c r="W186"/>
    </row>
    <row r="187" s="1" customFormat="1" spans="22:23">
      <c r="V187"/>
      <c r="W187"/>
    </row>
    <row r="188" spans="22:23">
      <c r="V188"/>
      <c r="W188"/>
    </row>
    <row r="189" s="1" customFormat="1" spans="22:23">
      <c r="V189"/>
      <c r="W189"/>
    </row>
    <row r="190" spans="22:23">
      <c r="V190"/>
      <c r="W190"/>
    </row>
    <row r="191" s="1" customFormat="1" spans="22:23">
      <c r="V191"/>
      <c r="W191"/>
    </row>
    <row r="192" spans="22:23">
      <c r="V192"/>
      <c r="W192"/>
    </row>
    <row r="193" s="1" customFormat="1" spans="22:23">
      <c r="V193"/>
      <c r="W193"/>
    </row>
    <row r="194" spans="22:23">
      <c r="V194"/>
      <c r="W194"/>
    </row>
    <row r="195" s="1" customFormat="1" spans="22:23">
      <c r="V195"/>
      <c r="W195"/>
    </row>
    <row r="196" s="1" customFormat="1" spans="22:23">
      <c r="V196"/>
      <c r="W196"/>
    </row>
    <row r="197" s="1" customFormat="1" spans="22:23">
      <c r="V197"/>
      <c r="W197"/>
    </row>
    <row r="198" s="1" customFormat="1" spans="22:23">
      <c r="V198"/>
      <c r="W198"/>
    </row>
    <row r="199" s="1" customFormat="1" spans="22:23">
      <c r="V199"/>
      <c r="W199"/>
    </row>
    <row r="200" s="1" customFormat="1" spans="22:23">
      <c r="V200"/>
      <c r="W200"/>
    </row>
    <row r="201" s="1" customFormat="1" spans="22:23">
      <c r="V201"/>
      <c r="W201"/>
    </row>
    <row r="202" spans="22:23">
      <c r="V202"/>
      <c r="W202"/>
    </row>
    <row r="203" s="1" customFormat="1" spans="22:23">
      <c r="V203"/>
      <c r="W203"/>
    </row>
    <row r="204" spans="22:23">
      <c r="V204"/>
      <c r="W204"/>
    </row>
    <row r="205" s="1" customFormat="1" spans="22:23">
      <c r="V205"/>
      <c r="W205"/>
    </row>
    <row r="206" spans="22:23">
      <c r="V206"/>
      <c r="W206"/>
    </row>
    <row r="207" s="1" customFormat="1" spans="22:23">
      <c r="V207"/>
      <c r="W207"/>
    </row>
    <row r="208" spans="22:23">
      <c r="V208"/>
      <c r="W208"/>
    </row>
    <row r="209" s="1" customFormat="1" spans="22:23">
      <c r="V209"/>
      <c r="W209"/>
    </row>
    <row r="210" s="1" customFormat="1" spans="22:23">
      <c r="V210"/>
      <c r="W210"/>
    </row>
    <row r="211" s="1" customFormat="1" spans="22:23">
      <c r="V211"/>
      <c r="W211"/>
    </row>
    <row r="212" s="1" customFormat="1" spans="22:23">
      <c r="V212"/>
      <c r="W212"/>
    </row>
    <row r="213" s="1" customFormat="1" spans="22:23">
      <c r="V213"/>
      <c r="W213"/>
    </row>
    <row r="214" s="1" customFormat="1" spans="22:23">
      <c r="V214"/>
      <c r="W214"/>
    </row>
    <row r="215" s="1" customFormat="1" spans="22:23">
      <c r="V215"/>
      <c r="W215"/>
    </row>
    <row r="216" spans="22:23">
      <c r="V216"/>
      <c r="W216"/>
    </row>
    <row r="217" s="1" customFormat="1" spans="22:23">
      <c r="V217"/>
      <c r="W217"/>
    </row>
    <row r="218" spans="22:23">
      <c r="V218"/>
      <c r="W218"/>
    </row>
    <row r="219" s="1" customFormat="1" spans="22:23">
      <c r="V219"/>
      <c r="W219"/>
    </row>
    <row r="220" spans="22:23">
      <c r="V220"/>
      <c r="W220"/>
    </row>
    <row r="221" s="1" customFormat="1" spans="22:23">
      <c r="V221"/>
      <c r="W221"/>
    </row>
    <row r="222" spans="22:23">
      <c r="V222"/>
      <c r="W222"/>
    </row>
    <row r="223" s="1" customFormat="1" spans="22:23">
      <c r="V223"/>
      <c r="W223"/>
    </row>
    <row r="224" s="1" customFormat="1" spans="22:23">
      <c r="V224"/>
      <c r="W224"/>
    </row>
    <row r="225" s="1" customFormat="1" spans="22:23">
      <c r="V225"/>
      <c r="W225"/>
    </row>
    <row r="226" s="1" customFormat="1" spans="22:23">
      <c r="V226"/>
      <c r="W226"/>
    </row>
    <row r="227" s="1" customFormat="1" spans="22:23">
      <c r="V227"/>
      <c r="W227"/>
    </row>
    <row r="228" s="1" customFormat="1" spans="22:23">
      <c r="V228"/>
      <c r="W228"/>
    </row>
    <row r="229" s="1" customFormat="1" spans="22:23">
      <c r="V229"/>
      <c r="W229"/>
    </row>
    <row r="230" spans="22:23">
      <c r="V230"/>
      <c r="W230"/>
    </row>
    <row r="231" s="1" customFormat="1" spans="22:23">
      <c r="V231"/>
      <c r="W231"/>
    </row>
    <row r="232" spans="22:23">
      <c r="V232"/>
      <c r="W232"/>
    </row>
    <row r="233" s="1" customFormat="1" spans="22:23">
      <c r="V233"/>
      <c r="W233"/>
    </row>
    <row r="234" spans="22:23">
      <c r="V234"/>
      <c r="W234"/>
    </row>
    <row r="235" s="1" customFormat="1" spans="22:23">
      <c r="V235"/>
      <c r="W235"/>
    </row>
    <row r="236" spans="22:23">
      <c r="V236"/>
      <c r="W236"/>
    </row>
    <row r="237" s="1" customFormat="1" spans="22:23">
      <c r="V237"/>
      <c r="W237"/>
    </row>
    <row r="238" s="1" customFormat="1" spans="22:23">
      <c r="V238"/>
      <c r="W238"/>
    </row>
    <row r="239" s="1" customFormat="1" spans="22:23">
      <c r="V239"/>
      <c r="W239"/>
    </row>
    <row r="240" s="1" customFormat="1" spans="22:23">
      <c r="V240"/>
      <c r="W240"/>
    </row>
    <row r="241" s="1" customFormat="1" spans="22:23">
      <c r="V241"/>
      <c r="W241"/>
    </row>
    <row r="242" s="1" customFormat="1" spans="22:23">
      <c r="V242"/>
      <c r="W242"/>
    </row>
    <row r="243" s="1" customFormat="1" spans="22:23">
      <c r="V243"/>
      <c r="W243"/>
    </row>
    <row r="244" spans="22:23">
      <c r="V244"/>
      <c r="W244"/>
    </row>
    <row r="245" s="1" customFormat="1" spans="22:23">
      <c r="V245"/>
      <c r="W245"/>
    </row>
    <row r="246" spans="22:23">
      <c r="V246"/>
      <c r="W246"/>
    </row>
    <row r="247" s="1" customFormat="1" spans="22:23">
      <c r="V247"/>
      <c r="W247"/>
    </row>
    <row r="248" spans="22:23">
      <c r="V248"/>
      <c r="W248"/>
    </row>
    <row r="249" s="1" customFormat="1" spans="22:23">
      <c r="V249"/>
      <c r="W249"/>
    </row>
    <row r="250" spans="22:23">
      <c r="V250"/>
      <c r="W250"/>
    </row>
    <row r="251" s="1" customFormat="1" spans="22:23">
      <c r="V251"/>
      <c r="W251"/>
    </row>
    <row r="252" s="1" customFormat="1" spans="22:23">
      <c r="V252"/>
      <c r="W252"/>
    </row>
    <row r="253" s="1" customFormat="1" spans="22:23">
      <c r="V253"/>
      <c r="W253"/>
    </row>
    <row r="254" s="1" customFormat="1" spans="22:23">
      <c r="V254"/>
      <c r="W254"/>
    </row>
    <row r="255" s="1" customFormat="1" spans="22:23">
      <c r="V255"/>
      <c r="W255"/>
    </row>
    <row r="256" s="1" customFormat="1" spans="22:23">
      <c r="V256"/>
      <c r="W256"/>
    </row>
    <row r="257" s="1" customFormat="1" spans="22:23">
      <c r="V257"/>
      <c r="W257"/>
    </row>
    <row r="258" spans="22:23">
      <c r="V258"/>
      <c r="W258"/>
    </row>
    <row r="259" s="1" customFormat="1" spans="22:23">
      <c r="V259"/>
      <c r="W259"/>
    </row>
    <row r="260" spans="22:23">
      <c r="V260"/>
      <c r="W260"/>
    </row>
    <row r="261" s="1" customFormat="1" spans="22:23">
      <c r="V261"/>
      <c r="W261"/>
    </row>
    <row r="262" spans="22:23">
      <c r="V262"/>
      <c r="W262"/>
    </row>
    <row r="263" s="1" customFormat="1" spans="22:23">
      <c r="V263"/>
      <c r="W263"/>
    </row>
    <row r="264" spans="22:23">
      <c r="V264"/>
      <c r="W264"/>
    </row>
    <row r="265" s="1" customFormat="1" spans="22:23">
      <c r="V265"/>
      <c r="W265"/>
    </row>
    <row r="266" spans="22:23">
      <c r="V266"/>
      <c r="W266"/>
    </row>
    <row r="267" s="1" customFormat="1" spans="22:23">
      <c r="V267"/>
      <c r="W267"/>
    </row>
    <row r="268" s="1" customFormat="1" spans="22:23">
      <c r="V268"/>
      <c r="W268"/>
    </row>
    <row r="269" s="1" customFormat="1" spans="22:23">
      <c r="V269"/>
      <c r="W269"/>
    </row>
    <row r="270" s="1" customFormat="1" spans="22:23">
      <c r="V270"/>
      <c r="W270"/>
    </row>
    <row r="271" s="1" customFormat="1" spans="22:23">
      <c r="V271"/>
      <c r="W271"/>
    </row>
    <row r="272" s="1" customFormat="1" spans="22:23">
      <c r="V272"/>
      <c r="W272"/>
    </row>
    <row r="273" s="1" customFormat="1" spans="22:23">
      <c r="V273"/>
      <c r="W273"/>
    </row>
    <row r="274" s="1" customFormat="1" spans="22:23">
      <c r="V274"/>
      <c r="W274"/>
    </row>
    <row r="275" spans="22:23">
      <c r="V275"/>
      <c r="W275"/>
    </row>
    <row r="276" s="1" customFormat="1" spans="22:23">
      <c r="V276"/>
      <c r="W276"/>
    </row>
    <row r="277" spans="22:23">
      <c r="V277"/>
      <c r="W277"/>
    </row>
    <row r="278" s="1" customFormat="1" spans="22:23">
      <c r="V278"/>
      <c r="W278"/>
    </row>
    <row r="279" spans="22:23">
      <c r="V279"/>
      <c r="W279"/>
    </row>
    <row r="280" s="1" customFormat="1" spans="22:23">
      <c r="V280"/>
      <c r="W280"/>
    </row>
    <row r="281" spans="22:23">
      <c r="V281"/>
      <c r="W281"/>
    </row>
    <row r="282" s="1" customFormat="1" spans="22:23">
      <c r="V282"/>
      <c r="W282"/>
    </row>
    <row r="283" s="1" customFormat="1" spans="22:23">
      <c r="V283"/>
      <c r="W283"/>
    </row>
    <row r="284" s="1" customFormat="1" spans="22:23">
      <c r="V284"/>
      <c r="W284"/>
    </row>
    <row r="285" s="1" customFormat="1" spans="22:23">
      <c r="V285"/>
      <c r="W285"/>
    </row>
    <row r="286" s="1" customFormat="1" spans="22:23">
      <c r="V286"/>
      <c r="W286"/>
    </row>
    <row r="287" s="1" customFormat="1" spans="22:23">
      <c r="V287"/>
      <c r="W287"/>
    </row>
    <row r="288" s="1" customFormat="1" spans="22:23">
      <c r="V288"/>
      <c r="W288"/>
    </row>
    <row r="289" s="1" customFormat="1" spans="22:23">
      <c r="V289"/>
      <c r="W289"/>
    </row>
    <row r="290" spans="22:23">
      <c r="V290"/>
      <c r="W290"/>
    </row>
    <row r="291" s="1" customFormat="1" spans="22:23">
      <c r="V291"/>
      <c r="W291"/>
    </row>
    <row r="292" spans="22:23">
      <c r="V292"/>
      <c r="W292"/>
    </row>
    <row r="293" s="1" customFormat="1" spans="22:23">
      <c r="V293"/>
      <c r="W293"/>
    </row>
    <row r="294" spans="22:23">
      <c r="V294"/>
      <c r="W294"/>
    </row>
    <row r="295" s="1" customFormat="1" spans="22:23">
      <c r="V295"/>
      <c r="W295"/>
    </row>
    <row r="296" spans="22:23">
      <c r="V296"/>
      <c r="W296"/>
    </row>
    <row r="297" s="1" customFormat="1" spans="22:23">
      <c r="V297"/>
      <c r="W297"/>
    </row>
    <row r="298" s="1" customFormat="1" spans="22:23">
      <c r="V298"/>
      <c r="W298"/>
    </row>
    <row r="299" s="1" customFormat="1" spans="22:23">
      <c r="V299"/>
      <c r="W299"/>
    </row>
    <row r="300" s="1" customFormat="1" spans="22:23">
      <c r="V300"/>
      <c r="W300"/>
    </row>
    <row r="301" s="1" customFormat="1" spans="22:23">
      <c r="V301"/>
      <c r="W301"/>
    </row>
    <row r="302" s="1" customFormat="1" spans="22:23">
      <c r="V302"/>
      <c r="W302"/>
    </row>
    <row r="303" s="1" customFormat="1" spans="22:23">
      <c r="V303"/>
      <c r="W303"/>
    </row>
    <row r="304" s="1" customFormat="1" spans="22:23">
      <c r="V304"/>
      <c r="W304"/>
    </row>
    <row r="305" spans="22:23">
      <c r="V305"/>
      <c r="W305"/>
    </row>
    <row r="306" s="1" customFormat="1" spans="22:23">
      <c r="V306"/>
      <c r="W306"/>
    </row>
    <row r="307" spans="22:23">
      <c r="V307"/>
      <c r="W307"/>
    </row>
    <row r="308" s="1" customFormat="1" spans="22:23">
      <c r="V308"/>
      <c r="W308"/>
    </row>
    <row r="309" spans="22:23">
      <c r="V309"/>
      <c r="W309"/>
    </row>
    <row r="310" s="1" customFormat="1" spans="22:23">
      <c r="V310"/>
      <c r="W310"/>
    </row>
    <row r="311" spans="22:23">
      <c r="V311"/>
      <c r="W311"/>
    </row>
    <row r="312" s="1" customFormat="1" spans="22:23">
      <c r="V312"/>
      <c r="W312"/>
    </row>
    <row r="313" s="1" customFormat="1" spans="22:23">
      <c r="V313"/>
      <c r="W313"/>
    </row>
    <row r="314" s="1" customFormat="1" spans="22:23">
      <c r="V314"/>
      <c r="W314"/>
    </row>
    <row r="315" s="1" customFormat="1" spans="22:23">
      <c r="V315"/>
      <c r="W315"/>
    </row>
    <row r="316" s="1" customFormat="1" spans="22:23">
      <c r="V316"/>
      <c r="W316"/>
    </row>
    <row r="317" s="1" customFormat="1" spans="22:23">
      <c r="V317"/>
      <c r="W317"/>
    </row>
    <row r="318" s="1" customFormat="1" spans="22:23">
      <c r="V318"/>
      <c r="W318"/>
    </row>
    <row r="319" s="1" customFormat="1" spans="22:23">
      <c r="V319"/>
      <c r="W319"/>
    </row>
    <row r="320" spans="22:23">
      <c r="V320"/>
      <c r="W320"/>
    </row>
    <row r="321" s="1" customFormat="1" spans="22:23">
      <c r="V321"/>
      <c r="W321"/>
    </row>
    <row r="322" spans="22:23">
      <c r="V322"/>
      <c r="W322"/>
    </row>
    <row r="323" s="1" customFormat="1" spans="22:23">
      <c r="V323"/>
      <c r="W323"/>
    </row>
    <row r="324" spans="22:23">
      <c r="V324"/>
      <c r="W324"/>
    </row>
    <row r="325" s="1" customFormat="1" spans="22:23">
      <c r="V325"/>
      <c r="W325"/>
    </row>
    <row r="326" spans="22:23">
      <c r="V326"/>
      <c r="W326"/>
    </row>
    <row r="327" s="1" customFormat="1" spans="22:23">
      <c r="V327"/>
      <c r="W327"/>
    </row>
    <row r="328" s="1" customFormat="1" spans="22:23">
      <c r="V328"/>
      <c r="W328"/>
    </row>
    <row r="329" s="1" customFormat="1" spans="22:23">
      <c r="V329"/>
      <c r="W329"/>
    </row>
    <row r="330" s="1" customFormat="1" spans="22:23">
      <c r="V330"/>
      <c r="W330"/>
    </row>
    <row r="331" s="1" customFormat="1" spans="22:23">
      <c r="V331"/>
      <c r="W331"/>
    </row>
    <row r="332" s="1" customFormat="1" spans="22:23">
      <c r="V332"/>
      <c r="W332"/>
    </row>
    <row r="333" s="1" customFormat="1" spans="22:23">
      <c r="V333"/>
      <c r="W333"/>
    </row>
    <row r="334" s="1" customFormat="1" spans="22:23">
      <c r="V334"/>
      <c r="W334"/>
    </row>
    <row r="335" spans="22:23">
      <c r="V335"/>
      <c r="W335"/>
    </row>
    <row r="336" s="1" customFormat="1" spans="22:23">
      <c r="V336"/>
      <c r="W336"/>
    </row>
    <row r="337" spans="22:23">
      <c r="V337"/>
      <c r="W337"/>
    </row>
    <row r="338" s="1" customFormat="1" spans="22:23">
      <c r="V338"/>
      <c r="W338"/>
    </row>
    <row r="339" spans="22:23">
      <c r="V339"/>
      <c r="W339"/>
    </row>
    <row r="340" s="1" customFormat="1" spans="22:23">
      <c r="V340"/>
      <c r="W340"/>
    </row>
    <row r="341" spans="22:23">
      <c r="V341"/>
      <c r="W341"/>
    </row>
    <row r="342" s="1" customFormat="1" spans="22:23">
      <c r="V342"/>
      <c r="W342"/>
    </row>
    <row r="343" s="1" customFormat="1" spans="22:23">
      <c r="V343"/>
      <c r="W343"/>
    </row>
    <row r="344" s="1" customFormat="1" spans="22:23">
      <c r="V344"/>
      <c r="W344"/>
    </row>
    <row r="345" s="1" customFormat="1" spans="22:23">
      <c r="V345"/>
      <c r="W345"/>
    </row>
    <row r="346" s="1" customFormat="1" spans="22:23">
      <c r="V346"/>
      <c r="W346"/>
    </row>
    <row r="347" s="1" customFormat="1" spans="22:23">
      <c r="V347"/>
      <c r="W347"/>
    </row>
    <row r="348" s="1" customFormat="1" spans="22:23">
      <c r="V348"/>
      <c r="W348"/>
    </row>
    <row r="349" s="1" customFormat="1" spans="22:23">
      <c r="V349"/>
      <c r="W349"/>
    </row>
    <row r="350" spans="22:23">
      <c r="V350"/>
      <c r="W350"/>
    </row>
    <row r="351" s="1" customFormat="1" spans="22:23">
      <c r="V351"/>
      <c r="W351"/>
    </row>
    <row r="352" spans="22:23">
      <c r="V352"/>
      <c r="W352"/>
    </row>
    <row r="353" s="1" customFormat="1" spans="22:23">
      <c r="V353"/>
      <c r="W353"/>
    </row>
    <row r="354" spans="22:23">
      <c r="V354"/>
      <c r="W354"/>
    </row>
    <row r="355" s="1" customFormat="1" spans="22:23">
      <c r="V355"/>
      <c r="W355"/>
    </row>
    <row r="356" spans="22:23">
      <c r="V356"/>
      <c r="W356"/>
    </row>
    <row r="357" s="1" customFormat="1" spans="22:23">
      <c r="V357"/>
      <c r="W357"/>
    </row>
    <row r="358" s="1" customFormat="1" spans="22:23">
      <c r="V358"/>
      <c r="W358"/>
    </row>
    <row r="359" s="1" customFormat="1" spans="22:23">
      <c r="V359"/>
      <c r="W359"/>
    </row>
    <row r="360" s="1" customFormat="1" spans="22:23">
      <c r="V360"/>
      <c r="W360"/>
    </row>
    <row r="361" s="1" customFormat="1" spans="22:23">
      <c r="V361"/>
      <c r="W361"/>
    </row>
    <row r="362" s="1" customFormat="1" spans="22:23">
      <c r="V362"/>
      <c r="W362"/>
    </row>
    <row r="363" s="1" customFormat="1" spans="22:23">
      <c r="V363"/>
      <c r="W363"/>
    </row>
    <row r="364" s="1" customFormat="1" spans="22:23">
      <c r="V364"/>
      <c r="W364"/>
    </row>
    <row r="365" spans="22:23">
      <c r="V365"/>
      <c r="W365"/>
    </row>
    <row r="366" s="1" customFormat="1" spans="22:23">
      <c r="V366"/>
      <c r="W366"/>
    </row>
    <row r="367" spans="22:23">
      <c r="V367"/>
      <c r="W367"/>
    </row>
    <row r="368" s="1" customFormat="1" spans="22:23">
      <c r="V368"/>
      <c r="W368"/>
    </row>
    <row r="369" spans="22:23">
      <c r="V369"/>
      <c r="W369"/>
    </row>
    <row r="370" s="1" customFormat="1" spans="22:23">
      <c r="V370"/>
      <c r="W370"/>
    </row>
    <row r="371" spans="22:23">
      <c r="V371"/>
      <c r="W371"/>
    </row>
    <row r="372" s="1" customFormat="1" spans="22:23">
      <c r="V372"/>
      <c r="W372"/>
    </row>
    <row r="373" s="1" customFormat="1" spans="22:23">
      <c r="V373"/>
      <c r="W373"/>
    </row>
    <row r="374" s="1" customFormat="1" spans="22:23">
      <c r="V374"/>
      <c r="W374"/>
    </row>
    <row r="375" s="1" customFormat="1" spans="22:23">
      <c r="V375"/>
      <c r="W375"/>
    </row>
    <row r="376" s="1" customFormat="1" spans="22:23">
      <c r="V376"/>
      <c r="W376"/>
    </row>
    <row r="377" s="1" customFormat="1" spans="22:23">
      <c r="V377"/>
      <c r="W377"/>
    </row>
    <row r="378" s="1" customFormat="1" spans="22:23">
      <c r="V378"/>
      <c r="W378"/>
    </row>
    <row r="379" s="1" customFormat="1" spans="22:23">
      <c r="V379"/>
      <c r="W379"/>
    </row>
    <row r="380" spans="22:23">
      <c r="V380"/>
      <c r="W380"/>
    </row>
    <row r="381" s="1" customFormat="1" spans="22:23">
      <c r="V381"/>
      <c r="W381"/>
    </row>
    <row r="382" spans="22:23">
      <c r="V382"/>
      <c r="W382"/>
    </row>
    <row r="383" s="1" customFormat="1" spans="22:23">
      <c r="V383"/>
      <c r="W383"/>
    </row>
    <row r="384" spans="22:23">
      <c r="V384"/>
      <c r="W384"/>
    </row>
    <row r="385" s="1" customFormat="1" spans="22:23">
      <c r="V385"/>
      <c r="W385"/>
    </row>
    <row r="386" spans="22:23">
      <c r="V386"/>
      <c r="W386"/>
    </row>
    <row r="387" s="1" customFormat="1" spans="22:23">
      <c r="V387"/>
      <c r="W387"/>
    </row>
    <row r="388" s="1" customFormat="1" spans="22:23">
      <c r="V388"/>
      <c r="W388"/>
    </row>
    <row r="389" s="1" customFormat="1" spans="22:23">
      <c r="V389"/>
      <c r="W389"/>
    </row>
    <row r="390" s="1" customFormat="1" spans="22:23">
      <c r="V390"/>
      <c r="W390"/>
    </row>
    <row r="391" s="1" customFormat="1" spans="22:23">
      <c r="V391"/>
      <c r="W391"/>
    </row>
    <row r="392" s="1" customFormat="1" spans="22:23">
      <c r="V392"/>
      <c r="W392"/>
    </row>
    <row r="393" s="1" customFormat="1" spans="22:23">
      <c r="V393"/>
      <c r="W393"/>
    </row>
    <row r="394" s="1" customFormat="1" spans="22:23">
      <c r="V394"/>
      <c r="W394"/>
    </row>
    <row r="395" spans="22:23">
      <c r="V395"/>
      <c r="W395"/>
    </row>
    <row r="396" s="1" customFormat="1" spans="22:23">
      <c r="V396"/>
      <c r="W396"/>
    </row>
    <row r="397" spans="22:23">
      <c r="V397"/>
      <c r="W397"/>
    </row>
    <row r="398" s="1" customFormat="1" spans="22:23">
      <c r="V398"/>
      <c r="W398"/>
    </row>
    <row r="399" spans="22:23">
      <c r="V399"/>
      <c r="W399"/>
    </row>
    <row r="400" s="1" customFormat="1" spans="22:23">
      <c r="V400"/>
      <c r="W400"/>
    </row>
    <row r="401" spans="22:23">
      <c r="V401"/>
      <c r="W401"/>
    </row>
    <row r="402" s="1" customFormat="1" spans="22:23">
      <c r="V402"/>
      <c r="W402"/>
    </row>
    <row r="403" s="1" customFormat="1" spans="22:23">
      <c r="V403"/>
      <c r="W403"/>
    </row>
    <row r="404" s="1" customFormat="1" spans="22:23">
      <c r="V404"/>
      <c r="W404"/>
    </row>
    <row r="405" s="1" customFormat="1" spans="22:23">
      <c r="V405"/>
      <c r="W405"/>
    </row>
    <row r="406" s="1" customFormat="1" spans="22:23">
      <c r="V406"/>
      <c r="W406"/>
    </row>
    <row r="407" s="1" customFormat="1" spans="22:23">
      <c r="V407"/>
      <c r="W407"/>
    </row>
    <row r="408" s="1" customFormat="1" spans="22:23">
      <c r="V408"/>
      <c r="W408"/>
    </row>
    <row r="409" s="1" customFormat="1" spans="22:23">
      <c r="V409"/>
      <c r="W409"/>
    </row>
    <row r="410" spans="22:23">
      <c r="V410"/>
      <c r="W410"/>
    </row>
    <row r="411" s="1" customFormat="1" spans="22:23">
      <c r="V411"/>
      <c r="W411"/>
    </row>
    <row r="412" spans="22:23">
      <c r="V412"/>
      <c r="W412"/>
    </row>
    <row r="413" s="1" customFormat="1" spans="22:23">
      <c r="V413"/>
      <c r="W413"/>
    </row>
    <row r="414" spans="22:23">
      <c r="V414"/>
      <c r="W414"/>
    </row>
    <row r="415" s="1" customFormat="1" spans="22:23">
      <c r="V415"/>
      <c r="W415"/>
    </row>
    <row r="416" spans="22:23">
      <c r="V416"/>
      <c r="W416"/>
    </row>
    <row r="417" s="1" customFormat="1" spans="22:23">
      <c r="V417"/>
      <c r="W417"/>
    </row>
    <row r="418" s="1" customFormat="1" spans="22:23">
      <c r="V418"/>
      <c r="W418"/>
    </row>
    <row r="419" s="1" customFormat="1" spans="22:23">
      <c r="V419"/>
      <c r="W419"/>
    </row>
    <row r="420" s="1" customFormat="1" spans="22:23">
      <c r="V420"/>
      <c r="W420"/>
    </row>
    <row r="421" s="1" customFormat="1" spans="22:23">
      <c r="V421"/>
      <c r="W421"/>
    </row>
    <row r="422" s="1" customFormat="1" spans="22:23">
      <c r="V422"/>
      <c r="W422"/>
    </row>
    <row r="423" s="1" customFormat="1" spans="22:23">
      <c r="V423"/>
      <c r="W423"/>
    </row>
    <row r="424" s="1" customFormat="1" spans="22:23">
      <c r="V424"/>
      <c r="W424"/>
    </row>
    <row r="425" spans="22:23">
      <c r="V425"/>
      <c r="W425"/>
    </row>
    <row r="426" s="1" customFormat="1" spans="22:23">
      <c r="V426"/>
      <c r="W426"/>
    </row>
    <row r="427" spans="22:23">
      <c r="V427"/>
      <c r="W427"/>
    </row>
    <row r="428" s="1" customFormat="1" spans="22:23">
      <c r="V428"/>
      <c r="W428"/>
    </row>
    <row r="429" spans="22:23">
      <c r="V429"/>
      <c r="W429"/>
    </row>
    <row r="430" s="1" customFormat="1" spans="22:23">
      <c r="V430"/>
      <c r="W430"/>
    </row>
    <row r="431" spans="22:23">
      <c r="V431"/>
      <c r="W431"/>
    </row>
    <row r="432" s="1" customFormat="1" spans="22:23">
      <c r="V432"/>
      <c r="W432"/>
    </row>
    <row r="433" s="1" customFormat="1" spans="22:23">
      <c r="V433"/>
      <c r="W433"/>
    </row>
    <row r="434" s="1" customFormat="1" spans="22:23">
      <c r="V434"/>
      <c r="W434"/>
    </row>
    <row r="435" s="1" customFormat="1" spans="22:23">
      <c r="V435"/>
      <c r="W435"/>
    </row>
    <row r="436" s="1" customFormat="1" spans="22:23">
      <c r="V436"/>
      <c r="W436"/>
    </row>
    <row r="437" s="1" customFormat="1" spans="22:23">
      <c r="V437"/>
      <c r="W437"/>
    </row>
    <row r="438" s="1" customFormat="1" spans="22:23">
      <c r="V438"/>
      <c r="W438"/>
    </row>
    <row r="439" s="1" customFormat="1" spans="22:23">
      <c r="V439"/>
      <c r="W439"/>
    </row>
    <row r="440" spans="22:23">
      <c r="V440"/>
      <c r="W440"/>
    </row>
    <row r="441" s="1" customFormat="1" spans="22:23">
      <c r="V441"/>
      <c r="W441"/>
    </row>
    <row r="442" spans="22:23">
      <c r="V442"/>
      <c r="W442"/>
    </row>
    <row r="443" s="1" customFormat="1" spans="22:23">
      <c r="V443"/>
      <c r="W443"/>
    </row>
    <row r="444" spans="22:23">
      <c r="V444"/>
      <c r="W444"/>
    </row>
    <row r="445" s="1" customFormat="1" spans="22:23">
      <c r="V445"/>
      <c r="W445"/>
    </row>
    <row r="446" spans="22:23">
      <c r="V446"/>
      <c r="W446"/>
    </row>
    <row r="447" s="1" customFormat="1" spans="22:23">
      <c r="V447"/>
      <c r="W447"/>
    </row>
    <row r="448" spans="22:23">
      <c r="V448"/>
      <c r="W448"/>
    </row>
    <row r="449" s="1" customFormat="1" spans="22:23">
      <c r="V449"/>
      <c r="W449"/>
    </row>
    <row r="450" s="1" customFormat="1" spans="22:23">
      <c r="V450"/>
      <c r="W450"/>
    </row>
    <row r="451" s="1" customFormat="1" spans="22:23">
      <c r="V451"/>
      <c r="W451"/>
    </row>
    <row r="452" s="1" customFormat="1" spans="22:23">
      <c r="V452"/>
      <c r="W452"/>
    </row>
    <row r="453" s="1" customFormat="1" spans="22:23">
      <c r="V453"/>
      <c r="W453"/>
    </row>
    <row r="454" s="1" customFormat="1" spans="22:23">
      <c r="V454"/>
      <c r="W454"/>
    </row>
    <row r="455" s="1" customFormat="1" spans="22:23">
      <c r="V455"/>
      <c r="W455"/>
    </row>
    <row r="456" s="1" customFormat="1" spans="22:23">
      <c r="V456"/>
      <c r="W456"/>
    </row>
    <row r="457" spans="22:23">
      <c r="V457"/>
      <c r="W457"/>
    </row>
    <row r="458" s="1" customFormat="1" spans="22:23">
      <c r="V458"/>
      <c r="W458"/>
    </row>
    <row r="459" spans="22:23">
      <c r="V459"/>
      <c r="W459"/>
    </row>
    <row r="460" s="1" customFormat="1" spans="22:23">
      <c r="V460"/>
      <c r="W460"/>
    </row>
    <row r="461" spans="22:23">
      <c r="V461"/>
      <c r="W461"/>
    </row>
    <row r="462" s="1" customFormat="1" spans="22:23">
      <c r="V462"/>
      <c r="W462"/>
    </row>
    <row r="463" spans="22:23">
      <c r="V463"/>
      <c r="W463"/>
    </row>
    <row r="464" s="1" customFormat="1" spans="22:23">
      <c r="V464"/>
      <c r="W464"/>
    </row>
    <row r="465" s="1" customFormat="1" spans="22:23">
      <c r="V465"/>
      <c r="W465"/>
    </row>
    <row r="466" s="1" customFormat="1" spans="22:23">
      <c r="V466"/>
      <c r="W466"/>
    </row>
    <row r="467" s="1" customFormat="1" spans="22:23">
      <c r="V467"/>
      <c r="W467"/>
    </row>
    <row r="468" s="1" customFormat="1" spans="22:23">
      <c r="V468"/>
      <c r="W468"/>
    </row>
    <row r="469" s="1" customFormat="1" spans="22:23">
      <c r="V469"/>
      <c r="W469"/>
    </row>
    <row r="470" s="1" customFormat="1" spans="22:23">
      <c r="V470"/>
      <c r="W470"/>
    </row>
    <row r="471" s="1" customFormat="1" spans="22:23">
      <c r="V471"/>
      <c r="W471"/>
    </row>
    <row r="472" spans="22:23">
      <c r="V472"/>
      <c r="W472"/>
    </row>
    <row r="473" s="1" customFormat="1" spans="22:23">
      <c r="V473"/>
      <c r="W473"/>
    </row>
    <row r="474" spans="22:23">
      <c r="V474"/>
      <c r="W474"/>
    </row>
    <row r="475" s="1" customFormat="1" spans="22:23">
      <c r="V475"/>
      <c r="W475"/>
    </row>
    <row r="476" spans="22:23">
      <c r="V476"/>
      <c r="W476"/>
    </row>
    <row r="477" s="1" customFormat="1" spans="22:23">
      <c r="V477"/>
      <c r="W477"/>
    </row>
    <row r="478" spans="22:23">
      <c r="V478"/>
      <c r="W478"/>
    </row>
    <row r="479" s="1" customFormat="1" spans="22:23">
      <c r="V479"/>
      <c r="W479"/>
    </row>
    <row r="480" s="1" customFormat="1" spans="22:23">
      <c r="V480"/>
      <c r="W480"/>
    </row>
    <row r="481" s="1" customFormat="1" spans="22:23">
      <c r="V481"/>
      <c r="W481"/>
    </row>
    <row r="482" s="1" customFormat="1" spans="22:23">
      <c r="V482"/>
      <c r="W482"/>
    </row>
    <row r="483" s="1" customFormat="1" spans="22:23">
      <c r="V483"/>
      <c r="W483"/>
    </row>
    <row r="484" s="1" customFormat="1" spans="22:23">
      <c r="V484"/>
      <c r="W484"/>
    </row>
    <row r="485" s="1" customFormat="1" spans="22:23">
      <c r="V485"/>
      <c r="W485"/>
    </row>
    <row r="486" s="1" customFormat="1" spans="22:23">
      <c r="V486"/>
      <c r="W486"/>
    </row>
    <row r="487" spans="22:23">
      <c r="V487"/>
      <c r="W487"/>
    </row>
    <row r="488" s="1" customFormat="1" spans="22:23">
      <c r="V488"/>
      <c r="W488"/>
    </row>
    <row r="489" spans="22:23">
      <c r="V489"/>
      <c r="W489"/>
    </row>
    <row r="490" s="1" customFormat="1" spans="22:23">
      <c r="V490"/>
      <c r="W490"/>
    </row>
    <row r="491" spans="22:23">
      <c r="V491"/>
      <c r="W491"/>
    </row>
    <row r="492" s="1" customFormat="1" spans="22:23">
      <c r="V492"/>
      <c r="W492"/>
    </row>
    <row r="493" spans="22:23">
      <c r="V493"/>
      <c r="W493"/>
    </row>
    <row r="494" s="1" customFormat="1" spans="22:23">
      <c r="V494"/>
      <c r="W494"/>
    </row>
    <row r="495" s="1" customFormat="1" spans="22:23">
      <c r="V495"/>
      <c r="W495"/>
    </row>
    <row r="496" s="1" customFormat="1" spans="22:23">
      <c r="V496"/>
      <c r="W496"/>
    </row>
    <row r="497" s="1" customFormat="1" spans="22:23">
      <c r="V497"/>
      <c r="W497"/>
    </row>
    <row r="498" s="1" customFormat="1" spans="22:23">
      <c r="V498"/>
      <c r="W498"/>
    </row>
    <row r="499" s="1" customFormat="1" spans="22:23">
      <c r="V499"/>
      <c r="W499"/>
    </row>
    <row r="500" s="1" customFormat="1" spans="22:23">
      <c r="V500"/>
      <c r="W500"/>
    </row>
    <row r="501" s="1" customFormat="1" spans="22:23">
      <c r="V501"/>
      <c r="W501"/>
    </row>
    <row r="502" spans="22:23">
      <c r="V502"/>
      <c r="W502"/>
    </row>
    <row r="503" s="1" customFormat="1" spans="22:23">
      <c r="V503"/>
      <c r="W503"/>
    </row>
    <row r="504" spans="22:23">
      <c r="V504"/>
      <c r="W504"/>
    </row>
    <row r="505" s="1" customFormat="1" spans="22:23">
      <c r="V505"/>
      <c r="W505"/>
    </row>
    <row r="506" spans="22:23">
      <c r="V506"/>
      <c r="W506"/>
    </row>
    <row r="507" s="1" customFormat="1" spans="22:23">
      <c r="V507"/>
      <c r="W507"/>
    </row>
    <row r="508" spans="22:23">
      <c r="V508"/>
      <c r="W508"/>
    </row>
    <row r="509" s="1" customFormat="1" spans="22:23">
      <c r="V509"/>
      <c r="W509"/>
    </row>
    <row r="510" s="1" customFormat="1" spans="22:23">
      <c r="V510"/>
      <c r="W510"/>
    </row>
    <row r="511" s="1" customFormat="1" spans="22:23">
      <c r="V511"/>
      <c r="W511"/>
    </row>
    <row r="512" s="1" customFormat="1" spans="22:23">
      <c r="V512"/>
      <c r="W512"/>
    </row>
    <row r="513" s="1" customFormat="1" spans="22:23">
      <c r="V513"/>
      <c r="W513"/>
    </row>
    <row r="514" s="1" customFormat="1" spans="22:23">
      <c r="V514"/>
      <c r="W514"/>
    </row>
    <row r="515" s="1" customFormat="1" spans="22:23">
      <c r="V515"/>
      <c r="W515"/>
    </row>
    <row r="516" s="1" customFormat="1" spans="22:23">
      <c r="V516"/>
      <c r="W516"/>
    </row>
    <row r="517" spans="22:23">
      <c r="V517"/>
      <c r="W517"/>
    </row>
    <row r="518" s="1" customFormat="1" spans="22:23">
      <c r="V518"/>
      <c r="W518"/>
    </row>
    <row r="519" spans="22:23">
      <c r="V519"/>
      <c r="W519"/>
    </row>
    <row r="520" s="1" customFormat="1" spans="22:23">
      <c r="V520"/>
      <c r="W520"/>
    </row>
    <row r="521" spans="22:23">
      <c r="V521"/>
      <c r="W521"/>
    </row>
    <row r="522" s="1" customFormat="1" spans="22:23">
      <c r="V522"/>
      <c r="W522"/>
    </row>
    <row r="523" spans="22:23">
      <c r="V523"/>
      <c r="W523"/>
    </row>
    <row r="524" s="1" customFormat="1" spans="22:23">
      <c r="V524"/>
      <c r="W524"/>
    </row>
    <row r="525" s="1" customFormat="1" spans="22:23">
      <c r="V525"/>
      <c r="W525"/>
    </row>
    <row r="526" s="1" customFormat="1" spans="22:23">
      <c r="V526"/>
      <c r="W526"/>
    </row>
    <row r="527" s="1" customFormat="1" spans="22:23">
      <c r="V527"/>
      <c r="W527"/>
    </row>
    <row r="528" s="1" customFormat="1" spans="22:23">
      <c r="V528"/>
      <c r="W528"/>
    </row>
    <row r="529" s="1" customFormat="1" spans="22:23">
      <c r="V529"/>
      <c r="W529"/>
    </row>
    <row r="530" s="1" customFormat="1" spans="22:23">
      <c r="V530"/>
      <c r="W530"/>
    </row>
    <row r="531" s="1" customFormat="1" spans="22:23">
      <c r="V531"/>
      <c r="W531"/>
    </row>
    <row r="532" spans="22:23">
      <c r="V532"/>
      <c r="W532"/>
    </row>
    <row r="533" s="1" customFormat="1" spans="22:23">
      <c r="V533"/>
      <c r="W533"/>
    </row>
    <row r="534" spans="22:23">
      <c r="V534"/>
      <c r="W534"/>
    </row>
    <row r="535" s="1" customFormat="1" spans="22:23">
      <c r="V535"/>
      <c r="W535"/>
    </row>
    <row r="536" spans="22:23">
      <c r="V536"/>
      <c r="W536"/>
    </row>
    <row r="537" s="1" customFormat="1" spans="22:23">
      <c r="V537"/>
      <c r="W537"/>
    </row>
    <row r="538" spans="22:23">
      <c r="V538"/>
      <c r="W538"/>
    </row>
    <row r="539" s="1" customFormat="1" spans="22:23">
      <c r="V539"/>
      <c r="W539"/>
    </row>
    <row r="540" s="1" customFormat="1" spans="22:23">
      <c r="V540"/>
      <c r="W540"/>
    </row>
    <row r="541" s="1" customFormat="1" spans="22:23">
      <c r="V541"/>
      <c r="W541"/>
    </row>
    <row r="542" s="1" customFormat="1" spans="22:23">
      <c r="V542"/>
      <c r="W542"/>
    </row>
    <row r="543" s="1" customFormat="1" spans="22:23">
      <c r="V543"/>
      <c r="W543"/>
    </row>
    <row r="544" s="1" customFormat="1" spans="22:23">
      <c r="V544"/>
      <c r="W544"/>
    </row>
    <row r="545" s="1" customFormat="1" spans="22:23">
      <c r="V545"/>
      <c r="W545"/>
    </row>
    <row r="546" s="1" customFormat="1" spans="22:23">
      <c r="V546"/>
      <c r="W546"/>
    </row>
    <row r="547" spans="22:23">
      <c r="V547"/>
      <c r="W547"/>
    </row>
    <row r="548" s="1" customFormat="1" spans="22:23">
      <c r="V548"/>
      <c r="W548"/>
    </row>
    <row r="549" spans="22:23">
      <c r="V549"/>
      <c r="W549"/>
    </row>
    <row r="550" s="1" customFormat="1" spans="22:23">
      <c r="V550"/>
      <c r="W550"/>
    </row>
    <row r="551" spans="22:23">
      <c r="V551"/>
      <c r="W551"/>
    </row>
    <row r="552" s="1" customFormat="1" spans="22:23">
      <c r="V552"/>
      <c r="W552"/>
    </row>
    <row r="553" spans="22:23">
      <c r="V553"/>
      <c r="W553"/>
    </row>
    <row r="554" s="1" customFormat="1" spans="22:23">
      <c r="V554"/>
      <c r="W554"/>
    </row>
    <row r="555" s="1" customFormat="1" spans="22:23">
      <c r="V555"/>
      <c r="W555"/>
    </row>
    <row r="556" s="1" customFormat="1" spans="22:23">
      <c r="V556"/>
      <c r="W556"/>
    </row>
    <row r="557" s="1" customFormat="1" spans="22:23">
      <c r="V557"/>
      <c r="W557"/>
    </row>
    <row r="558" s="1" customFormat="1" spans="22:23">
      <c r="V558"/>
      <c r="W558"/>
    </row>
    <row r="559" s="1" customFormat="1" spans="22:23">
      <c r="V559"/>
      <c r="W559"/>
    </row>
    <row r="560" s="1" customFormat="1" spans="22:23">
      <c r="V560"/>
      <c r="W560"/>
    </row>
    <row r="561" s="1" customFormat="1" spans="22:23">
      <c r="V561"/>
      <c r="W561"/>
    </row>
    <row r="562" spans="22:23">
      <c r="V562"/>
      <c r="W562"/>
    </row>
    <row r="563" s="1" customFormat="1" spans="22:23">
      <c r="V563"/>
      <c r="W563"/>
    </row>
    <row r="564" spans="22:23">
      <c r="V564"/>
      <c r="W564"/>
    </row>
    <row r="565" s="1" customFormat="1" spans="22:23">
      <c r="V565"/>
      <c r="W565"/>
    </row>
    <row r="566" spans="22:23">
      <c r="V566"/>
      <c r="W566"/>
    </row>
    <row r="567" s="1" customFormat="1" spans="22:23">
      <c r="V567"/>
      <c r="W567"/>
    </row>
    <row r="568" spans="22:23">
      <c r="V568"/>
      <c r="W568"/>
    </row>
    <row r="569" s="1" customFormat="1" spans="22:23">
      <c r="V569"/>
      <c r="W569"/>
    </row>
    <row r="570" s="1" customFormat="1" spans="22:23">
      <c r="V570"/>
      <c r="W570"/>
    </row>
    <row r="571" s="1" customFormat="1" spans="22:23">
      <c r="V571"/>
      <c r="W571"/>
    </row>
    <row r="572" s="1" customFormat="1" spans="22:23">
      <c r="V572"/>
      <c r="W572"/>
    </row>
    <row r="573" s="1" customFormat="1" spans="22:23">
      <c r="V573"/>
      <c r="W573"/>
    </row>
    <row r="574" s="1" customFormat="1" spans="22:23">
      <c r="V574"/>
      <c r="W574"/>
    </row>
    <row r="575" s="1" customFormat="1" spans="22:23">
      <c r="V575"/>
      <c r="W575"/>
    </row>
    <row r="576" s="1" customFormat="1" spans="22:23">
      <c r="V576"/>
      <c r="W576"/>
    </row>
    <row r="577" spans="22:23">
      <c r="V577"/>
      <c r="W577"/>
    </row>
    <row r="578" s="1" customFormat="1" spans="22:23">
      <c r="V578"/>
      <c r="W578"/>
    </row>
    <row r="579" spans="22:23">
      <c r="V579"/>
      <c r="W579"/>
    </row>
    <row r="580" s="1" customFormat="1" spans="22:23">
      <c r="V580"/>
      <c r="W580"/>
    </row>
    <row r="581" spans="22:23">
      <c r="V581"/>
      <c r="W581"/>
    </row>
    <row r="582" s="1" customFormat="1" spans="22:23">
      <c r="V582"/>
      <c r="W582"/>
    </row>
    <row r="583" spans="22:23">
      <c r="V583"/>
      <c r="W583"/>
    </row>
    <row r="584" s="1" customFormat="1" spans="22:23">
      <c r="V584"/>
      <c r="W584"/>
    </row>
    <row r="585" s="1" customFormat="1" spans="22:23">
      <c r="V585"/>
      <c r="W585"/>
    </row>
    <row r="586" s="1" customFormat="1" spans="22:23">
      <c r="V586"/>
      <c r="W586"/>
    </row>
    <row r="587" s="1" customFormat="1" spans="22:23">
      <c r="V587"/>
      <c r="W587"/>
    </row>
    <row r="588" s="1" customFormat="1" spans="22:23">
      <c r="V588"/>
      <c r="W588"/>
    </row>
    <row r="589" s="1" customFormat="1" spans="22:23">
      <c r="V589"/>
      <c r="W589"/>
    </row>
    <row r="590" s="1" customFormat="1" spans="22:23">
      <c r="V590"/>
      <c r="W590"/>
    </row>
    <row r="591" s="1" customFormat="1" spans="22:23">
      <c r="V591"/>
      <c r="W591"/>
    </row>
    <row r="592" spans="22:23">
      <c r="V592"/>
      <c r="W592"/>
    </row>
    <row r="593" s="1" customFormat="1" spans="22:23">
      <c r="V593"/>
      <c r="W593"/>
    </row>
    <row r="594" spans="22:23">
      <c r="V594"/>
      <c r="W594"/>
    </row>
    <row r="595" s="1" customFormat="1" spans="22:23">
      <c r="V595"/>
      <c r="W595"/>
    </row>
    <row r="596" spans="22:23">
      <c r="V596"/>
      <c r="W596"/>
    </row>
    <row r="597" s="1" customFormat="1" spans="22:23">
      <c r="V597"/>
      <c r="W597"/>
    </row>
    <row r="598" spans="22:23">
      <c r="V598"/>
      <c r="W598"/>
    </row>
    <row r="599" s="1" customFormat="1" spans="22:23">
      <c r="V599"/>
      <c r="W599"/>
    </row>
    <row r="600" spans="22:23">
      <c r="V600"/>
      <c r="W600"/>
    </row>
    <row r="601" s="1" customFormat="1" spans="22:23">
      <c r="V601"/>
      <c r="W601"/>
    </row>
    <row r="602" s="1" customFormat="1" spans="22:23">
      <c r="V602"/>
      <c r="W602"/>
    </row>
    <row r="603" s="1" customFormat="1" spans="22:23">
      <c r="V603"/>
      <c r="W603"/>
    </row>
    <row r="604" s="1" customFormat="1" spans="22:23">
      <c r="V604"/>
      <c r="W604"/>
    </row>
    <row r="605" s="1" customFormat="1" spans="22:23">
      <c r="V605"/>
      <c r="W605"/>
    </row>
    <row r="606" s="1" customFormat="1" spans="22:23">
      <c r="V606"/>
      <c r="W606"/>
    </row>
    <row r="607" s="1" customFormat="1" spans="22:23">
      <c r="V607"/>
      <c r="W607"/>
    </row>
    <row r="608" s="1" customFormat="1" spans="22:23">
      <c r="V608"/>
      <c r="W608"/>
    </row>
    <row r="609" spans="22:23">
      <c r="V609"/>
      <c r="W609"/>
    </row>
    <row r="610" s="1" customFormat="1" spans="22:23">
      <c r="V610"/>
      <c r="W610"/>
    </row>
    <row r="611" spans="22:23">
      <c r="V611"/>
      <c r="W611"/>
    </row>
    <row r="612" s="1" customFormat="1" spans="22:23">
      <c r="V612"/>
      <c r="W612"/>
    </row>
    <row r="613" spans="22:23">
      <c r="V613"/>
      <c r="W613"/>
    </row>
    <row r="614" s="1" customFormat="1" spans="22:23">
      <c r="V614"/>
      <c r="W614"/>
    </row>
    <row r="615" spans="22:23">
      <c r="V615"/>
      <c r="W615"/>
    </row>
    <row r="616" s="1" customFormat="1" spans="22:23">
      <c r="V616"/>
      <c r="W616"/>
    </row>
    <row r="617" s="1" customFormat="1" spans="22:23">
      <c r="V617"/>
      <c r="W617"/>
    </row>
    <row r="618" s="1" customFormat="1" spans="22:23">
      <c r="V618"/>
      <c r="W618"/>
    </row>
    <row r="619" s="1" customFormat="1" spans="22:23">
      <c r="V619"/>
      <c r="W619"/>
    </row>
    <row r="620" s="1" customFormat="1" spans="22:23">
      <c r="V620"/>
      <c r="W620"/>
    </row>
    <row r="621" s="1" customFormat="1" spans="22:23">
      <c r="V621"/>
      <c r="W621"/>
    </row>
    <row r="622" s="1" customFormat="1" spans="22:23">
      <c r="V622"/>
      <c r="W622"/>
    </row>
    <row r="623" s="1" customFormat="1" spans="22:23">
      <c r="V623"/>
      <c r="W623"/>
    </row>
    <row r="624" spans="22:23">
      <c r="V624"/>
      <c r="W624"/>
    </row>
    <row r="625" s="1" customFormat="1" spans="22:23">
      <c r="V625"/>
      <c r="W625"/>
    </row>
    <row r="626" spans="22:23">
      <c r="V626"/>
      <c r="W626"/>
    </row>
    <row r="627" s="1" customFormat="1" spans="22:23">
      <c r="V627"/>
      <c r="W627"/>
    </row>
    <row r="628" spans="22:23">
      <c r="V628"/>
      <c r="W628"/>
    </row>
    <row r="629" s="1" customFormat="1" spans="22:23">
      <c r="V629"/>
      <c r="W629"/>
    </row>
    <row r="630" spans="22:23">
      <c r="V630"/>
      <c r="W630"/>
    </row>
    <row r="631" s="1" customFormat="1" spans="22:23">
      <c r="V631"/>
      <c r="W631"/>
    </row>
    <row r="632" s="1" customFormat="1" spans="22:23">
      <c r="V632"/>
      <c r="W632"/>
    </row>
    <row r="633" s="1" customFormat="1" spans="22:23">
      <c r="V633"/>
      <c r="W633"/>
    </row>
    <row r="634" s="1" customFormat="1" spans="22:23">
      <c r="V634"/>
      <c r="W634"/>
    </row>
    <row r="635" s="1" customFormat="1" spans="22:23">
      <c r="V635"/>
      <c r="W635"/>
    </row>
    <row r="636" s="1" customFormat="1" spans="22:23">
      <c r="V636"/>
      <c r="W636"/>
    </row>
    <row r="637" s="1" customFormat="1" spans="22:23">
      <c r="V637"/>
      <c r="W637"/>
    </row>
    <row r="638" s="1" customFormat="1" spans="22:23">
      <c r="V638"/>
      <c r="W638"/>
    </row>
    <row r="639" spans="22:23">
      <c r="V639"/>
      <c r="W639"/>
    </row>
    <row r="640" s="1" customFormat="1" spans="22:23">
      <c r="V640"/>
      <c r="W640"/>
    </row>
    <row r="641" spans="22:23">
      <c r="V641"/>
      <c r="W641"/>
    </row>
    <row r="642" s="1" customFormat="1" spans="22:23">
      <c r="V642"/>
      <c r="W642"/>
    </row>
    <row r="643" spans="22:23">
      <c r="V643"/>
      <c r="W643"/>
    </row>
    <row r="644" s="1" customFormat="1" spans="22:23">
      <c r="V644"/>
      <c r="W644"/>
    </row>
    <row r="645" spans="22:23">
      <c r="V645"/>
      <c r="W645"/>
    </row>
    <row r="646" s="1" customFormat="1" spans="22:23">
      <c r="V646"/>
      <c r="W646"/>
    </row>
    <row r="647" s="1" customFormat="1" spans="22:23">
      <c r="V647"/>
      <c r="W647"/>
    </row>
    <row r="648" s="1" customFormat="1" spans="22:23">
      <c r="V648"/>
      <c r="W648"/>
    </row>
    <row r="649" s="1" customFormat="1" spans="22:23">
      <c r="V649"/>
      <c r="W649"/>
    </row>
    <row r="650" s="1" customFormat="1" spans="22:23">
      <c r="V650"/>
      <c r="W650"/>
    </row>
    <row r="651" s="1" customFormat="1" spans="22:23">
      <c r="V651"/>
      <c r="W651"/>
    </row>
    <row r="652" s="1" customFormat="1" spans="22:23">
      <c r="V652"/>
      <c r="W652"/>
    </row>
    <row r="653" s="1" customFormat="1" spans="22:23">
      <c r="V653"/>
      <c r="W653"/>
    </row>
    <row r="654" spans="22:23">
      <c r="V654"/>
      <c r="W654"/>
    </row>
    <row r="655" s="1" customFormat="1" spans="22:23">
      <c r="V655"/>
      <c r="W655"/>
    </row>
    <row r="656" spans="22:23">
      <c r="V656"/>
      <c r="W656"/>
    </row>
    <row r="657" s="1" customFormat="1" spans="22:23">
      <c r="V657"/>
      <c r="W657"/>
    </row>
    <row r="658" spans="22:23">
      <c r="V658"/>
      <c r="W658"/>
    </row>
    <row r="659" s="1" customFormat="1" spans="22:23">
      <c r="V659"/>
      <c r="W659"/>
    </row>
    <row r="660" spans="22:23">
      <c r="V660"/>
      <c r="W660"/>
    </row>
    <row r="661" s="1" customFormat="1" spans="22:23">
      <c r="V661"/>
      <c r="W661"/>
    </row>
    <row r="662" s="1" customFormat="1" spans="22:23">
      <c r="V662"/>
      <c r="W662"/>
    </row>
    <row r="663" s="1" customFormat="1" spans="22:23">
      <c r="V663"/>
      <c r="W663"/>
    </row>
    <row r="664" s="1" customFormat="1" spans="22:23">
      <c r="V664"/>
      <c r="W664"/>
    </row>
    <row r="665" s="1" customFormat="1" spans="22:23">
      <c r="V665"/>
      <c r="W665"/>
    </row>
    <row r="666" s="1" customFormat="1" spans="22:23">
      <c r="V666"/>
      <c r="W666"/>
    </row>
    <row r="667" s="1" customFormat="1" spans="22:23">
      <c r="V667"/>
      <c r="W667"/>
    </row>
    <row r="668" s="1" customFormat="1" spans="22:23">
      <c r="V668"/>
      <c r="W668"/>
    </row>
    <row r="669" spans="22:23">
      <c r="V669"/>
      <c r="W669"/>
    </row>
    <row r="670" s="1" customFormat="1" spans="22:23">
      <c r="V670"/>
      <c r="W670"/>
    </row>
    <row r="671" spans="22:23">
      <c r="V671"/>
      <c r="W671"/>
    </row>
    <row r="672" s="1" customFormat="1" spans="22:23">
      <c r="V672"/>
      <c r="W672"/>
    </row>
    <row r="673" spans="22:23">
      <c r="V673"/>
      <c r="W673"/>
    </row>
    <row r="674" s="1" customFormat="1" spans="22:23">
      <c r="V674"/>
      <c r="W674"/>
    </row>
    <row r="675" spans="22:23">
      <c r="V675"/>
      <c r="W675"/>
    </row>
    <row r="676" s="1" customFormat="1" spans="22:23">
      <c r="V676"/>
      <c r="W676"/>
    </row>
    <row r="677" s="1" customFormat="1" spans="22:23">
      <c r="V677"/>
      <c r="W677"/>
    </row>
    <row r="678" s="1" customFormat="1" spans="22:23">
      <c r="V678"/>
      <c r="W678"/>
    </row>
    <row r="679" s="1" customFormat="1" spans="22:23">
      <c r="V679"/>
      <c r="W679"/>
    </row>
    <row r="680" s="1" customFormat="1" spans="22:23">
      <c r="V680"/>
      <c r="W680"/>
    </row>
    <row r="681" s="1" customFormat="1" spans="22:23">
      <c r="V681"/>
      <c r="W681"/>
    </row>
    <row r="682" s="1" customFormat="1" spans="22:23">
      <c r="V682"/>
      <c r="W682"/>
    </row>
    <row r="683" s="1" customFormat="1" spans="22:23">
      <c r="V683"/>
      <c r="W683"/>
    </row>
    <row r="684" spans="22:23">
      <c r="V684"/>
      <c r="W684"/>
    </row>
    <row r="685" s="1" customFormat="1" spans="22:23">
      <c r="V685"/>
      <c r="W685"/>
    </row>
    <row r="686" spans="22:23">
      <c r="V686"/>
      <c r="W686"/>
    </row>
    <row r="687" s="1" customFormat="1" spans="22:23">
      <c r="V687"/>
      <c r="W687"/>
    </row>
    <row r="688" spans="22:23">
      <c r="V688"/>
      <c r="W688"/>
    </row>
    <row r="689" s="1" customFormat="1" spans="22:23">
      <c r="V689"/>
      <c r="W689"/>
    </row>
    <row r="690" spans="22:23">
      <c r="V690"/>
      <c r="W690"/>
    </row>
    <row r="691" s="1" customFormat="1" spans="22:23">
      <c r="V691"/>
      <c r="W691"/>
    </row>
    <row r="692" s="1" customFormat="1" spans="22:23">
      <c r="V692"/>
      <c r="W692"/>
    </row>
    <row r="693" s="1" customFormat="1" spans="22:23">
      <c r="V693"/>
      <c r="W693"/>
    </row>
    <row r="694" s="1" customFormat="1" spans="22:23">
      <c r="V694"/>
      <c r="W694"/>
    </row>
    <row r="695" s="1" customFormat="1" spans="22:23">
      <c r="V695"/>
      <c r="W695"/>
    </row>
    <row r="696" s="1" customFormat="1" spans="22:23">
      <c r="V696"/>
      <c r="W696"/>
    </row>
    <row r="697" s="1" customFormat="1" spans="22:23">
      <c r="V697"/>
      <c r="W697"/>
    </row>
    <row r="698" s="1" customFormat="1" spans="22:23">
      <c r="V698"/>
      <c r="W698"/>
    </row>
    <row r="699" spans="22:23">
      <c r="V699"/>
      <c r="W699"/>
    </row>
    <row r="700" s="1" customFormat="1" spans="22:23">
      <c r="V700"/>
      <c r="W700"/>
    </row>
    <row r="701" spans="22:23">
      <c r="V701"/>
      <c r="W701"/>
    </row>
    <row r="702" s="1" customFormat="1" spans="22:23">
      <c r="V702"/>
      <c r="W702"/>
    </row>
    <row r="703" spans="22:23">
      <c r="V703"/>
      <c r="W703"/>
    </row>
    <row r="704" s="1" customFormat="1" spans="22:23">
      <c r="V704"/>
      <c r="W704"/>
    </row>
    <row r="705" spans="22:23">
      <c r="V705"/>
      <c r="W705"/>
    </row>
    <row r="706" s="1" customFormat="1" spans="22:23">
      <c r="V706"/>
      <c r="W706"/>
    </row>
    <row r="707" s="1" customFormat="1" spans="22:23">
      <c r="V707"/>
      <c r="W707"/>
    </row>
    <row r="708" s="1" customFormat="1" spans="22:23">
      <c r="V708"/>
      <c r="W708"/>
    </row>
    <row r="709" s="1" customFormat="1" spans="22:23">
      <c r="V709"/>
      <c r="W709"/>
    </row>
    <row r="710" s="1" customFormat="1" spans="22:23">
      <c r="V710"/>
      <c r="W710"/>
    </row>
    <row r="711" s="1" customFormat="1" spans="22:23">
      <c r="V711"/>
      <c r="W711"/>
    </row>
    <row r="712" s="1" customFormat="1" spans="22:23">
      <c r="V712"/>
      <c r="W712"/>
    </row>
    <row r="713" s="1" customFormat="1" spans="22:23">
      <c r="V713"/>
      <c r="W713"/>
    </row>
    <row r="714" spans="22:23">
      <c r="V714"/>
      <c r="W714"/>
    </row>
    <row r="715" s="1" customFormat="1" spans="22:23">
      <c r="V715"/>
      <c r="W715"/>
    </row>
    <row r="716" spans="22:23">
      <c r="V716"/>
      <c r="W716"/>
    </row>
    <row r="717" s="1" customFormat="1" spans="22:23">
      <c r="V717"/>
      <c r="W717"/>
    </row>
    <row r="718" spans="22:23">
      <c r="V718"/>
      <c r="W718"/>
    </row>
    <row r="719" s="1" customFormat="1" spans="22:23">
      <c r="V719"/>
      <c r="W719"/>
    </row>
    <row r="720" spans="22:23">
      <c r="V720"/>
      <c r="W720"/>
    </row>
    <row r="721" s="1" customFormat="1" spans="22:23">
      <c r="V721"/>
      <c r="W721"/>
    </row>
    <row r="722" s="1" customFormat="1" spans="22:23">
      <c r="V722"/>
      <c r="W722"/>
    </row>
    <row r="723" s="1" customFormat="1" spans="22:23">
      <c r="V723"/>
      <c r="W723"/>
    </row>
    <row r="724" s="1" customFormat="1" spans="22:23">
      <c r="V724"/>
      <c r="W724"/>
    </row>
    <row r="725" s="1" customFormat="1" spans="22:23">
      <c r="V725"/>
      <c r="W725"/>
    </row>
    <row r="726" s="1" customFormat="1" spans="22:23">
      <c r="V726"/>
      <c r="W726"/>
    </row>
    <row r="727" s="1" customFormat="1" spans="22:23">
      <c r="V727"/>
      <c r="W727"/>
    </row>
    <row r="728" s="1" customFormat="1" spans="22:23">
      <c r="V728"/>
      <c r="W728"/>
    </row>
    <row r="729" spans="22:23">
      <c r="V729"/>
      <c r="W729"/>
    </row>
    <row r="730" s="1" customFormat="1" spans="22:23">
      <c r="V730"/>
      <c r="W730"/>
    </row>
    <row r="731" spans="22:23">
      <c r="V731"/>
      <c r="W731"/>
    </row>
    <row r="732" s="1" customFormat="1" spans="22:23">
      <c r="V732"/>
      <c r="W732"/>
    </row>
    <row r="733" spans="22:23">
      <c r="V733"/>
      <c r="W733"/>
    </row>
    <row r="734" s="1" customFormat="1" spans="22:23">
      <c r="V734"/>
      <c r="W734"/>
    </row>
    <row r="735" spans="22:23">
      <c r="V735"/>
      <c r="W735"/>
    </row>
    <row r="736" s="1" customFormat="1" spans="22:23">
      <c r="V736"/>
      <c r="W736"/>
    </row>
    <row r="737" s="1" customFormat="1" spans="22:23">
      <c r="V737"/>
      <c r="W737"/>
    </row>
    <row r="738" s="1" customFormat="1" spans="22:23">
      <c r="V738"/>
      <c r="W738"/>
    </row>
    <row r="739" s="1" customFormat="1" spans="22:23">
      <c r="V739"/>
      <c r="W739"/>
    </row>
    <row r="740" s="1" customFormat="1" spans="22:23">
      <c r="V740"/>
      <c r="W740"/>
    </row>
    <row r="741" s="1" customFormat="1" spans="22:23">
      <c r="V741"/>
      <c r="W741"/>
    </row>
    <row r="742" s="1" customFormat="1" spans="22:23">
      <c r="V742"/>
      <c r="W742"/>
    </row>
    <row r="743" s="1" customFormat="1" spans="22:23">
      <c r="V743"/>
      <c r="W743"/>
    </row>
    <row r="744" spans="22:23">
      <c r="V744"/>
      <c r="W744"/>
    </row>
    <row r="745" s="1" customFormat="1" spans="22:23">
      <c r="V745"/>
      <c r="W745"/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32"/>
  <sheetViews>
    <sheetView tabSelected="1" topLeftCell="A232" workbookViewId="0">
      <selection activeCell="A267" sqref="A267:A537"/>
    </sheetView>
  </sheetViews>
  <sheetFormatPr defaultColWidth="9" defaultRowHeight="13.5"/>
  <cols>
    <col min="1" max="1" width="17.75" customWidth="1"/>
    <col min="3" max="3" width="43.375" customWidth="1"/>
  </cols>
  <sheetData>
    <row r="1" spans="1:3">
      <c r="A1" s="1" t="s">
        <v>463</v>
      </c>
      <c r="B1" t="s">
        <v>291</v>
      </c>
      <c r="C1" t="s">
        <v>1085</v>
      </c>
    </row>
    <row r="2" spans="1:3">
      <c r="A2" s="1" t="s">
        <v>1086</v>
      </c>
      <c r="B2" t="s">
        <v>333</v>
      </c>
      <c r="C2" t="s">
        <v>1087</v>
      </c>
    </row>
    <row r="3" spans="1:3">
      <c r="A3" s="1" t="s">
        <v>1088</v>
      </c>
      <c r="B3" t="s">
        <v>333</v>
      </c>
      <c r="C3" t="s">
        <v>1087</v>
      </c>
    </row>
    <row r="4" spans="1:3">
      <c r="A4" s="1" t="s">
        <v>1089</v>
      </c>
      <c r="B4" t="s">
        <v>333</v>
      </c>
      <c r="C4" t="s">
        <v>1087</v>
      </c>
    </row>
    <row r="5" spans="1:3">
      <c r="A5" s="1" t="s">
        <v>1090</v>
      </c>
      <c r="B5" t="s">
        <v>333</v>
      </c>
      <c r="C5" t="s">
        <v>1087</v>
      </c>
    </row>
    <row r="6" spans="1:3">
      <c r="A6" s="1" t="s">
        <v>1091</v>
      </c>
      <c r="B6" t="s">
        <v>333</v>
      </c>
      <c r="C6" t="s">
        <v>1087</v>
      </c>
    </row>
    <row r="7" spans="1:3">
      <c r="A7" s="1" t="s">
        <v>1092</v>
      </c>
      <c r="B7" t="s">
        <v>333</v>
      </c>
      <c r="C7" t="s">
        <v>1087</v>
      </c>
    </row>
    <row r="8" spans="1:3">
      <c r="A8" s="1" t="s">
        <v>1093</v>
      </c>
      <c r="B8" t="s">
        <v>333</v>
      </c>
      <c r="C8" t="s">
        <v>1087</v>
      </c>
    </row>
    <row r="9" spans="1:3">
      <c r="A9" s="1" t="s">
        <v>1094</v>
      </c>
      <c r="B9" t="s">
        <v>333</v>
      </c>
      <c r="C9" t="s">
        <v>1087</v>
      </c>
    </row>
    <row r="10" spans="1:3">
      <c r="A10" s="1" t="s">
        <v>1095</v>
      </c>
      <c r="B10" t="s">
        <v>333</v>
      </c>
      <c r="C10" t="s">
        <v>1087</v>
      </c>
    </row>
    <row r="11" spans="1:3">
      <c r="A11" s="1" t="s">
        <v>1096</v>
      </c>
      <c r="B11" t="s">
        <v>333</v>
      </c>
      <c r="C11" t="s">
        <v>1087</v>
      </c>
    </row>
    <row r="12" spans="1:3">
      <c r="A12" s="1" t="s">
        <v>1097</v>
      </c>
      <c r="B12" t="s">
        <v>333</v>
      </c>
      <c r="C12" t="s">
        <v>1098</v>
      </c>
    </row>
    <row r="13" spans="1:3">
      <c r="A13" s="1" t="s">
        <v>1099</v>
      </c>
      <c r="B13" t="s">
        <v>333</v>
      </c>
      <c r="C13" t="s">
        <v>1098</v>
      </c>
    </row>
    <row r="14" spans="1:3">
      <c r="A14" s="1" t="s">
        <v>1100</v>
      </c>
      <c r="B14" t="s">
        <v>333</v>
      </c>
      <c r="C14" t="s">
        <v>1098</v>
      </c>
    </row>
    <row r="15" spans="1:3">
      <c r="A15" s="1" t="s">
        <v>1101</v>
      </c>
      <c r="B15" t="s">
        <v>333</v>
      </c>
      <c r="C15" t="s">
        <v>1098</v>
      </c>
    </row>
    <row r="16" spans="1:3">
      <c r="A16" s="1" t="s">
        <v>1102</v>
      </c>
      <c r="B16" t="s">
        <v>333</v>
      </c>
      <c r="C16" t="s">
        <v>1098</v>
      </c>
    </row>
    <row r="17" spans="1:3">
      <c r="A17" s="1" t="s">
        <v>1103</v>
      </c>
      <c r="B17" t="s">
        <v>333</v>
      </c>
      <c r="C17" t="s">
        <v>1098</v>
      </c>
    </row>
    <row r="18" spans="1:3">
      <c r="A18" s="1" t="s">
        <v>1104</v>
      </c>
      <c r="B18" t="s">
        <v>333</v>
      </c>
      <c r="C18" t="s">
        <v>1098</v>
      </c>
    </row>
    <row r="19" spans="1:3">
      <c r="A19" s="1" t="s">
        <v>1105</v>
      </c>
      <c r="B19" t="s">
        <v>333</v>
      </c>
      <c r="C19" t="s">
        <v>1098</v>
      </c>
    </row>
    <row r="20" spans="1:3">
      <c r="A20" s="1" t="s">
        <v>1106</v>
      </c>
      <c r="B20" t="s">
        <v>333</v>
      </c>
      <c r="C20" t="s">
        <v>1098</v>
      </c>
    </row>
    <row r="21" spans="1:3">
      <c r="A21" s="1" t="s">
        <v>1107</v>
      </c>
      <c r="B21" t="s">
        <v>333</v>
      </c>
      <c r="C21" t="s">
        <v>1098</v>
      </c>
    </row>
    <row r="22" spans="1:3">
      <c r="A22" s="1" t="s">
        <v>1108</v>
      </c>
      <c r="B22" t="s">
        <v>333</v>
      </c>
      <c r="C22" t="s">
        <v>1109</v>
      </c>
    </row>
    <row r="23" spans="1:3">
      <c r="A23" s="1" t="s">
        <v>1110</v>
      </c>
      <c r="B23" t="s">
        <v>333</v>
      </c>
      <c r="C23" t="s">
        <v>1109</v>
      </c>
    </row>
    <row r="24" spans="1:3">
      <c r="A24" s="1" t="s">
        <v>1111</v>
      </c>
      <c r="B24" t="s">
        <v>333</v>
      </c>
      <c r="C24" t="s">
        <v>1109</v>
      </c>
    </row>
    <row r="25" spans="1:3">
      <c r="A25" s="1" t="s">
        <v>1112</v>
      </c>
      <c r="B25" t="s">
        <v>333</v>
      </c>
      <c r="C25" t="s">
        <v>1109</v>
      </c>
    </row>
    <row r="26" spans="1:3">
      <c r="A26" s="1" t="s">
        <v>1113</v>
      </c>
      <c r="B26" t="s">
        <v>333</v>
      </c>
      <c r="C26" t="s">
        <v>1109</v>
      </c>
    </row>
    <row r="27" spans="1:3">
      <c r="A27" s="1" t="s">
        <v>1114</v>
      </c>
      <c r="B27" t="s">
        <v>333</v>
      </c>
      <c r="C27" t="s">
        <v>1109</v>
      </c>
    </row>
    <row r="28" spans="1:3">
      <c r="A28" s="1" t="s">
        <v>1115</v>
      </c>
      <c r="B28" t="s">
        <v>333</v>
      </c>
      <c r="C28" t="s">
        <v>1109</v>
      </c>
    </row>
    <row r="29" spans="1:3">
      <c r="A29" s="1" t="s">
        <v>1116</v>
      </c>
      <c r="B29" t="s">
        <v>333</v>
      </c>
      <c r="C29" t="s">
        <v>1109</v>
      </c>
    </row>
    <row r="30" spans="1:3">
      <c r="A30" s="1" t="s">
        <v>1117</v>
      </c>
      <c r="B30" t="s">
        <v>333</v>
      </c>
      <c r="C30" t="s">
        <v>1109</v>
      </c>
    </row>
    <row r="31" spans="1:3">
      <c r="A31" s="1" t="s">
        <v>1118</v>
      </c>
      <c r="B31" t="s">
        <v>333</v>
      </c>
      <c r="C31" t="s">
        <v>1109</v>
      </c>
    </row>
    <row r="32" spans="1:3">
      <c r="A32" s="1" t="s">
        <v>1119</v>
      </c>
      <c r="B32" t="s">
        <v>333</v>
      </c>
      <c r="C32" t="s">
        <v>1120</v>
      </c>
    </row>
    <row r="33" spans="1:10">
      <c r="A33" s="1" t="s">
        <v>1121</v>
      </c>
      <c r="B33" t="s">
        <v>333</v>
      </c>
      <c r="C33" t="s">
        <v>1120</v>
      </c>
    </row>
    <row r="34" spans="1:10">
      <c r="A34" s="1" t="s">
        <v>1122</v>
      </c>
      <c r="B34" t="s">
        <v>333</v>
      </c>
      <c r="C34" t="s">
        <v>1120</v>
      </c>
    </row>
    <row r="35" spans="1:10">
      <c r="A35" s="1" t="s">
        <v>1123</v>
      </c>
      <c r="B35" t="s">
        <v>333</v>
      </c>
      <c r="C35" t="s">
        <v>1120</v>
      </c>
    </row>
    <row r="36" spans="1:10">
      <c r="A36" s="1" t="s">
        <v>1124</v>
      </c>
      <c r="B36" t="s">
        <v>333</v>
      </c>
      <c r="C36" t="s">
        <v>1120</v>
      </c>
    </row>
    <row r="37" spans="1:10">
      <c r="A37" s="1" t="s">
        <v>1125</v>
      </c>
      <c r="B37" t="s">
        <v>333</v>
      </c>
      <c r="C37" t="s">
        <v>1120</v>
      </c>
    </row>
    <row r="38" spans="1:10">
      <c r="A38" s="1" t="s">
        <v>1126</v>
      </c>
      <c r="B38" t="s">
        <v>333</v>
      </c>
      <c r="C38" t="s">
        <v>1120</v>
      </c>
    </row>
    <row r="39" spans="1:10">
      <c r="A39" s="1" t="s">
        <v>1127</v>
      </c>
      <c r="B39" t="s">
        <v>333</v>
      </c>
      <c r="C39" t="s">
        <v>1120</v>
      </c>
    </row>
    <row r="40" spans="1:10">
      <c r="A40" s="1" t="s">
        <v>1128</v>
      </c>
      <c r="B40" t="s">
        <v>333</v>
      </c>
      <c r="C40" t="s">
        <v>1120</v>
      </c>
    </row>
    <row r="41" spans="1:10">
      <c r="A41" s="1" t="s">
        <v>1129</v>
      </c>
      <c r="B41" t="s">
        <v>333</v>
      </c>
      <c r="C41" t="s">
        <v>1120</v>
      </c>
    </row>
    <row r="46" spans="1:10">
      <c r="A46" s="1" t="s">
        <v>160</v>
      </c>
      <c r="B46" s="1" t="s">
        <v>1130</v>
      </c>
      <c r="C46" s="1"/>
      <c r="D46" s="1"/>
      <c r="E46" s="1"/>
      <c r="F46" s="1"/>
      <c r="G46" s="1"/>
      <c r="H46" s="1"/>
      <c r="I46" s="1"/>
      <c r="J46" s="1"/>
    </row>
    <row r="47" spans="1:10">
      <c r="A47" s="1" t="s">
        <v>1075</v>
      </c>
      <c r="B47" s="1" t="s">
        <v>1131</v>
      </c>
      <c r="C47" s="1" t="s">
        <v>1132</v>
      </c>
      <c r="D47" s="1"/>
      <c r="E47" s="1" t="s">
        <v>1133</v>
      </c>
      <c r="F47" s="1" t="s">
        <v>1134</v>
      </c>
      <c r="G47" s="1"/>
      <c r="H47" s="1"/>
      <c r="I47" s="1"/>
      <c r="J47" s="1" t="s">
        <v>1135</v>
      </c>
    </row>
    <row r="48" spans="1:10">
      <c r="A48" s="1" t="s">
        <v>1136</v>
      </c>
      <c r="B48" s="1" t="s">
        <v>1137</v>
      </c>
      <c r="C48" s="1" t="s">
        <v>1138</v>
      </c>
      <c r="D48" s="1"/>
      <c r="E48" s="1" t="s">
        <v>1139</v>
      </c>
      <c r="F48" s="1" t="s">
        <v>1140</v>
      </c>
      <c r="G48" s="1"/>
      <c r="H48" s="1"/>
      <c r="I48" s="1"/>
      <c r="J48" s="1" t="s">
        <v>1141</v>
      </c>
    </row>
    <row r="49" spans="1:10">
      <c r="A49" s="1" t="s">
        <v>1142</v>
      </c>
      <c r="B49" s="1" t="s">
        <v>1137</v>
      </c>
      <c r="C49" s="1" t="s">
        <v>1143</v>
      </c>
      <c r="D49" s="1"/>
      <c r="E49" s="1" t="s">
        <v>1144</v>
      </c>
      <c r="F49" s="1" t="s">
        <v>1145</v>
      </c>
      <c r="G49" s="1"/>
      <c r="H49" s="1"/>
      <c r="I49" s="1"/>
      <c r="J49" s="1" t="s">
        <v>1146</v>
      </c>
    </row>
    <row r="50" spans="1:10">
      <c r="A50" s="1" t="s">
        <v>1147</v>
      </c>
      <c r="B50" s="1" t="s">
        <v>1138</v>
      </c>
      <c r="C50" s="1" t="s">
        <v>1148</v>
      </c>
      <c r="D50" s="1"/>
      <c r="E50" s="1" t="s">
        <v>1149</v>
      </c>
      <c r="F50" s="1" t="s">
        <v>1150</v>
      </c>
      <c r="G50" s="1"/>
      <c r="H50" s="1"/>
      <c r="I50" s="1"/>
      <c r="J50" s="1" t="s">
        <v>1151</v>
      </c>
    </row>
    <row r="51" spans="1:10">
      <c r="A51" s="1" t="s">
        <v>1152</v>
      </c>
      <c r="B51" s="1" t="s">
        <v>1148</v>
      </c>
      <c r="C51" s="1" t="s">
        <v>1153</v>
      </c>
      <c r="D51" s="1"/>
      <c r="E51" s="1" t="s">
        <v>1154</v>
      </c>
      <c r="F51" s="1" t="s">
        <v>1155</v>
      </c>
      <c r="G51" s="1"/>
      <c r="H51" s="1"/>
      <c r="I51" s="1"/>
      <c r="J51" s="1" t="s">
        <v>1156</v>
      </c>
    </row>
    <row r="52" spans="1:10">
      <c r="A52" s="1" t="s">
        <v>1157</v>
      </c>
      <c r="B52" s="1" t="s">
        <v>1148</v>
      </c>
      <c r="C52" s="1" t="s">
        <v>1153</v>
      </c>
      <c r="D52" s="1"/>
      <c r="E52" s="1" t="s">
        <v>1158</v>
      </c>
      <c r="F52" s="1" t="s">
        <v>1079</v>
      </c>
      <c r="G52" s="1"/>
      <c r="H52" s="1"/>
      <c r="I52" s="1"/>
      <c r="J52" s="1"/>
    </row>
    <row r="53" spans="1:10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0">
      <c r="A54" s="1" t="s">
        <v>1063</v>
      </c>
      <c r="B54" s="1" t="s">
        <v>1148</v>
      </c>
      <c r="C54" s="1" t="s">
        <v>1153</v>
      </c>
      <c r="D54" s="1" t="s">
        <v>1159</v>
      </c>
      <c r="E54" s="1" t="s">
        <v>1160</v>
      </c>
      <c r="F54" s="1" t="s">
        <v>1079</v>
      </c>
      <c r="G54" s="1"/>
      <c r="H54" s="1"/>
      <c r="I54" s="1"/>
      <c r="J54" s="1" t="s">
        <v>1161</v>
      </c>
    </row>
    <row r="55" spans="1:10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0">
      <c r="A56" s="1" t="s">
        <v>1066</v>
      </c>
      <c r="B56" s="1" t="s">
        <v>1137</v>
      </c>
      <c r="C56" s="1" t="s">
        <v>1138</v>
      </c>
      <c r="D56" s="1" t="s">
        <v>1162</v>
      </c>
      <c r="E56" s="1" t="s">
        <v>1163</v>
      </c>
      <c r="F56" s="1" t="s">
        <v>1164</v>
      </c>
      <c r="G56" s="1"/>
      <c r="H56" s="1"/>
      <c r="I56" s="1"/>
      <c r="J56" s="1" t="s">
        <v>1165</v>
      </c>
    </row>
    <row r="57" spans="1:10">
      <c r="A57" s="1" t="s">
        <v>1068</v>
      </c>
      <c r="B57" s="1" t="s">
        <v>1148</v>
      </c>
      <c r="C57" s="1" t="s">
        <v>1153</v>
      </c>
      <c r="D57" s="1" t="s">
        <v>580</v>
      </c>
      <c r="E57" s="1" t="s">
        <v>1166</v>
      </c>
      <c r="F57" s="1" t="s">
        <v>1167</v>
      </c>
      <c r="G57" s="1"/>
      <c r="H57" s="1"/>
      <c r="I57" s="1"/>
      <c r="J57" s="1" t="s">
        <v>1168</v>
      </c>
    </row>
    <row r="58" spans="1:10">
      <c r="A58" s="1" t="s">
        <v>1071</v>
      </c>
      <c r="B58" s="1" t="s">
        <v>1137</v>
      </c>
      <c r="C58" s="1" t="s">
        <v>1138</v>
      </c>
      <c r="D58" s="1"/>
      <c r="E58" s="1" t="s">
        <v>1169</v>
      </c>
      <c r="F58" s="1" t="s">
        <v>1170</v>
      </c>
      <c r="G58" s="1"/>
      <c r="H58" s="1"/>
      <c r="I58" s="1"/>
      <c r="J58" s="1" t="s">
        <v>1171</v>
      </c>
    </row>
    <row r="63" spans="1:10">
      <c r="A63" s="1" t="s">
        <v>1172</v>
      </c>
      <c r="B63" s="1" t="s">
        <v>1077</v>
      </c>
      <c r="C63" s="1" t="s">
        <v>1133</v>
      </c>
      <c r="D63" s="1" t="s">
        <v>1173</v>
      </c>
      <c r="E63" s="1"/>
      <c r="F63" s="1"/>
      <c r="G63" s="1"/>
      <c r="H63" s="1"/>
    </row>
    <row r="64" spans="1:10">
      <c r="A64" s="1" t="s">
        <v>1174</v>
      </c>
      <c r="B64" s="1" t="s">
        <v>1175</v>
      </c>
      <c r="C64" s="1" t="s">
        <v>1139</v>
      </c>
      <c r="D64" s="1" t="s">
        <v>1140</v>
      </c>
      <c r="E64" s="1"/>
      <c r="F64" s="1"/>
      <c r="G64" s="1"/>
      <c r="H64" s="1"/>
    </row>
    <row r="65" spans="1:18">
      <c r="A65" s="1" t="s">
        <v>1174</v>
      </c>
      <c r="B65" s="1" t="s">
        <v>1041</v>
      </c>
      <c r="C65" s="1" t="s">
        <v>511</v>
      </c>
      <c r="D65" s="1" t="s">
        <v>1176</v>
      </c>
      <c r="E65" s="1"/>
      <c r="F65" s="1"/>
      <c r="G65" s="1"/>
      <c r="H65" s="1"/>
    </row>
    <row r="66" spans="1:18">
      <c r="A66" s="1" t="s">
        <v>1177</v>
      </c>
      <c r="B66" s="1" t="s">
        <v>1178</v>
      </c>
      <c r="C66" s="1" t="s">
        <v>1144</v>
      </c>
      <c r="D66" s="1" t="s">
        <v>1145</v>
      </c>
      <c r="E66" s="1"/>
      <c r="F66" s="1"/>
      <c r="G66" s="1"/>
      <c r="H66" s="1"/>
    </row>
    <row r="67" spans="1:18">
      <c r="A67" s="1" t="s">
        <v>1177</v>
      </c>
      <c r="B67" s="1" t="s">
        <v>1179</v>
      </c>
      <c r="C67" s="1" t="s">
        <v>1180</v>
      </c>
      <c r="D67" s="1" t="s">
        <v>1181</v>
      </c>
      <c r="E67" s="1"/>
      <c r="F67" s="1"/>
      <c r="G67" s="1"/>
      <c r="H67" s="1"/>
    </row>
    <row r="68" spans="1:18">
      <c r="A68" s="1" t="s">
        <v>1182</v>
      </c>
      <c r="B68" s="1" t="s">
        <v>1183</v>
      </c>
      <c r="C68" s="1" t="s">
        <v>1149</v>
      </c>
      <c r="D68" s="1" t="s">
        <v>1150</v>
      </c>
      <c r="E68" s="1"/>
      <c r="F68" s="1"/>
      <c r="G68" s="1"/>
      <c r="H68" s="1"/>
    </row>
    <row r="69" spans="1:18">
      <c r="A69" s="1" t="s">
        <v>1182</v>
      </c>
      <c r="B69" s="1" t="s">
        <v>1184</v>
      </c>
      <c r="C69" s="1" t="s">
        <v>1185</v>
      </c>
      <c r="D69" s="1" t="s">
        <v>1186</v>
      </c>
      <c r="E69" s="1"/>
      <c r="F69" s="1"/>
      <c r="G69" s="1"/>
      <c r="H69" s="1"/>
    </row>
    <row r="70" spans="1:18">
      <c r="A70" s="1" t="s">
        <v>1187</v>
      </c>
      <c r="B70" s="1" t="s">
        <v>1052</v>
      </c>
      <c r="C70" s="1" t="s">
        <v>1154</v>
      </c>
      <c r="D70" s="1" t="s">
        <v>1155</v>
      </c>
      <c r="E70" s="1"/>
      <c r="F70" s="1"/>
      <c r="G70" s="1"/>
      <c r="H70" s="1"/>
    </row>
    <row r="71" spans="1:18">
      <c r="A71" s="1" t="s">
        <v>1187</v>
      </c>
      <c r="B71" s="1" t="s">
        <v>1188</v>
      </c>
      <c r="C71" s="1" t="s">
        <v>609</v>
      </c>
      <c r="D71" s="1" t="s">
        <v>1189</v>
      </c>
      <c r="E71" s="1"/>
      <c r="F71" s="1"/>
      <c r="G71" s="1"/>
      <c r="H71" s="1"/>
    </row>
    <row r="72" spans="1:18">
      <c r="A72" s="1" t="s">
        <v>1190</v>
      </c>
      <c r="B72" s="1" t="s">
        <v>1055</v>
      </c>
      <c r="C72" s="1" t="s">
        <v>1158</v>
      </c>
      <c r="D72" s="1" t="s">
        <v>1079</v>
      </c>
      <c r="E72" s="1"/>
      <c r="F72" s="1"/>
      <c r="G72" s="1"/>
      <c r="H72" s="1"/>
    </row>
    <row r="73" spans="1:18">
      <c r="A73" s="1" t="s">
        <v>1190</v>
      </c>
      <c r="B73" s="1" t="s">
        <v>1191</v>
      </c>
      <c r="C73" s="1" t="s">
        <v>1192</v>
      </c>
      <c r="D73" s="1" t="s">
        <v>1193</v>
      </c>
      <c r="E73" s="1"/>
      <c r="F73" s="1"/>
      <c r="G73" s="1"/>
      <c r="H73" s="1"/>
    </row>
    <row r="74" spans="1:18">
      <c r="A74" s="1"/>
      <c r="B74" s="1"/>
      <c r="C74" s="1"/>
      <c r="D74" s="1"/>
      <c r="E74" s="1"/>
      <c r="F74" s="1"/>
      <c r="G74" s="1"/>
      <c r="H74" s="1"/>
    </row>
    <row r="75" spans="1:18">
      <c r="A75" s="1" t="s">
        <v>1075</v>
      </c>
      <c r="B75" s="1" t="s">
        <v>1194</v>
      </c>
      <c r="C75" s="1"/>
      <c r="D75" s="1"/>
      <c r="E75" s="1"/>
      <c r="F75" s="1"/>
      <c r="G75" s="1"/>
      <c r="H75" s="1"/>
    </row>
    <row r="76" spans="1:18">
      <c r="A76" s="1" t="s">
        <v>1174</v>
      </c>
      <c r="B76" s="1" t="s">
        <v>1195</v>
      </c>
      <c r="C76" s="1"/>
      <c r="D76" s="1"/>
      <c r="E76" s="1"/>
      <c r="F76" s="1"/>
      <c r="G76" s="1"/>
      <c r="H76" s="1"/>
    </row>
    <row r="77" spans="1:18">
      <c r="A77" s="1" t="s">
        <v>1177</v>
      </c>
      <c r="B77" s="1" t="s">
        <v>1196</v>
      </c>
      <c r="C77" s="1"/>
      <c r="D77" s="1"/>
      <c r="E77" s="1"/>
      <c r="F77" s="1"/>
      <c r="G77" s="1"/>
      <c r="H77" s="1"/>
      <c r="Q77" s="1" t="s">
        <v>1197</v>
      </c>
      <c r="R77" s="1"/>
    </row>
    <row r="78" spans="1:18">
      <c r="A78" s="1" t="s">
        <v>1182</v>
      </c>
      <c r="B78" s="1" t="s">
        <v>1198</v>
      </c>
      <c r="C78" s="1"/>
      <c r="D78" s="1"/>
      <c r="E78" s="1"/>
      <c r="F78" s="1"/>
      <c r="G78" s="1"/>
      <c r="H78" s="1"/>
      <c r="Q78" s="1"/>
      <c r="R78" s="1"/>
    </row>
    <row r="79" spans="1:18">
      <c r="A79" s="1" t="s">
        <v>1187</v>
      </c>
      <c r="B79" s="1" t="s">
        <v>1199</v>
      </c>
      <c r="C79" s="1"/>
      <c r="D79" s="1"/>
      <c r="E79" s="1"/>
      <c r="F79" s="1"/>
      <c r="G79" s="1"/>
      <c r="H79" s="1"/>
      <c r="Q79" s="1"/>
      <c r="R79" s="1"/>
    </row>
    <row r="80" spans="1:18">
      <c r="A80" s="1" t="s">
        <v>1190</v>
      </c>
      <c r="B80" s="1" t="s">
        <v>1200</v>
      </c>
      <c r="C80" s="1"/>
      <c r="D80" s="1"/>
      <c r="E80" s="1"/>
      <c r="F80" s="1"/>
      <c r="G80" s="1"/>
      <c r="H80" s="1"/>
      <c r="Q80" s="1"/>
      <c r="R80" s="1"/>
    </row>
    <row r="81" spans="1:18">
      <c r="A81" s="1"/>
      <c r="B81" s="1"/>
      <c r="C81" s="1"/>
      <c r="D81" s="1"/>
      <c r="E81" s="1"/>
      <c r="F81" s="1"/>
      <c r="G81" s="1"/>
      <c r="H81" s="1"/>
      <c r="Q81" s="1"/>
      <c r="R81" s="1"/>
    </row>
    <row r="82" spans="1:18">
      <c r="A82" s="1"/>
      <c r="B82" s="1"/>
      <c r="C82" s="1"/>
      <c r="D82" s="1"/>
      <c r="E82" s="1"/>
      <c r="F82" s="1"/>
      <c r="G82" s="1"/>
      <c r="H82" s="1"/>
      <c r="Q82" s="1"/>
      <c r="R82" s="1"/>
    </row>
    <row r="83" spans="1:18">
      <c r="A83" s="1" t="s">
        <v>333</v>
      </c>
      <c r="B83" s="1" t="s">
        <v>1201</v>
      </c>
      <c r="C83" s="1" t="s">
        <v>1202</v>
      </c>
      <c r="D83" s="1" t="s">
        <v>1133</v>
      </c>
      <c r="E83" s="1" t="s">
        <v>1203</v>
      </c>
      <c r="F83" s="1" t="s">
        <v>1204</v>
      </c>
      <c r="G83" s="1" t="s">
        <v>1194</v>
      </c>
      <c r="H83" s="1"/>
      <c r="Q83" s="1"/>
      <c r="R83" s="1"/>
    </row>
    <row r="84" spans="1:18">
      <c r="A84" s="1" t="s">
        <v>1061</v>
      </c>
      <c r="B84" s="1" t="s">
        <v>1205</v>
      </c>
      <c r="C84" s="1" t="s">
        <v>1206</v>
      </c>
      <c r="D84" s="1" t="s">
        <v>1207</v>
      </c>
      <c r="E84" s="1" t="s">
        <v>1185</v>
      </c>
      <c r="F84" s="1" t="s">
        <v>1076</v>
      </c>
      <c r="G84" s="1" t="s">
        <v>1208</v>
      </c>
      <c r="H84" s="1"/>
      <c r="Q84" s="1"/>
      <c r="R84" s="1"/>
    </row>
    <row r="85" spans="1:18">
      <c r="A85" s="1" t="s">
        <v>1063</v>
      </c>
      <c r="B85" s="1" t="s">
        <v>1148</v>
      </c>
      <c r="C85" s="1" t="s">
        <v>1153</v>
      </c>
      <c r="D85" s="1" t="s">
        <v>1159</v>
      </c>
      <c r="E85" s="1" t="s">
        <v>1160</v>
      </c>
      <c r="F85" s="1" t="s">
        <v>1079</v>
      </c>
      <c r="G85" s="1" t="s">
        <v>1209</v>
      </c>
      <c r="H85" s="1"/>
      <c r="Q85" s="1"/>
      <c r="R85" s="1"/>
    </row>
    <row r="86" spans="1:18">
      <c r="A86" s="1" t="s">
        <v>1066</v>
      </c>
      <c r="B86" s="1" t="s">
        <v>1137</v>
      </c>
      <c r="C86" s="1" t="s">
        <v>1138</v>
      </c>
      <c r="D86" s="1" t="s">
        <v>1162</v>
      </c>
      <c r="E86" s="1" t="s">
        <v>1163</v>
      </c>
      <c r="F86" s="1" t="s">
        <v>1164</v>
      </c>
      <c r="G86" s="1" t="s">
        <v>1210</v>
      </c>
      <c r="H86" s="1"/>
      <c r="Q86" s="1"/>
      <c r="R86" s="1"/>
    </row>
    <row r="87" spans="1:18">
      <c r="A87" s="1" t="s">
        <v>1068</v>
      </c>
      <c r="B87" s="1" t="s">
        <v>1148</v>
      </c>
      <c r="C87" s="1" t="s">
        <v>1153</v>
      </c>
      <c r="D87" s="1" t="s">
        <v>580</v>
      </c>
      <c r="E87" s="1" t="s">
        <v>1166</v>
      </c>
      <c r="F87" s="1" t="s">
        <v>1167</v>
      </c>
      <c r="G87" s="1" t="s">
        <v>1211</v>
      </c>
      <c r="H87" s="1"/>
      <c r="Q87" s="1"/>
      <c r="R87" s="1"/>
    </row>
    <row r="88" spans="1:18">
      <c r="A88" s="1" t="s">
        <v>1071</v>
      </c>
      <c r="B88" s="1" t="s">
        <v>1137</v>
      </c>
      <c r="C88" s="1" t="s">
        <v>1138</v>
      </c>
      <c r="D88" s="1" t="s">
        <v>1212</v>
      </c>
      <c r="E88" s="1" t="s">
        <v>1169</v>
      </c>
      <c r="F88" s="1" t="s">
        <v>1170</v>
      </c>
      <c r="G88" s="1" t="s">
        <v>1213</v>
      </c>
      <c r="H88" s="1"/>
      <c r="Q88" s="1"/>
      <c r="R88" s="1"/>
    </row>
    <row r="89" spans="1:18">
      <c r="A89" s="1"/>
      <c r="B89" s="1"/>
      <c r="C89" s="1"/>
      <c r="D89" s="1"/>
      <c r="E89" s="1"/>
      <c r="F89" s="1"/>
      <c r="G89" s="1"/>
      <c r="H89" s="1"/>
      <c r="Q89" s="1"/>
      <c r="R89" s="1"/>
    </row>
    <row r="90" spans="1:18">
      <c r="A90" s="1" t="s">
        <v>160</v>
      </c>
      <c r="B90" s="1" t="s">
        <v>1214</v>
      </c>
      <c r="C90" s="1" t="s">
        <v>1215</v>
      </c>
      <c r="D90" s="1" t="s">
        <v>1216</v>
      </c>
      <c r="E90" s="1"/>
      <c r="F90" s="1"/>
      <c r="G90" s="1"/>
      <c r="H90" s="1"/>
      <c r="Q90" s="1"/>
      <c r="R90" s="1"/>
    </row>
    <row r="91" spans="1:18">
      <c r="A91" s="1" t="s">
        <v>1175</v>
      </c>
      <c r="B91" s="1" t="s">
        <v>1217</v>
      </c>
      <c r="C91" s="1" t="s">
        <v>1218</v>
      </c>
      <c r="D91" s="1" t="s">
        <v>1219</v>
      </c>
      <c r="E91" s="1"/>
      <c r="F91" s="1"/>
      <c r="G91" s="1"/>
      <c r="H91" s="1"/>
      <c r="Q91" s="1"/>
      <c r="R91" s="1"/>
    </row>
    <row r="92" spans="1:18">
      <c r="A92" s="1" t="s">
        <v>1041</v>
      </c>
      <c r="B92" s="1" t="s">
        <v>1220</v>
      </c>
      <c r="C92" s="1" t="s">
        <v>1221</v>
      </c>
      <c r="D92" s="1" t="s">
        <v>1222</v>
      </c>
      <c r="E92" s="1"/>
      <c r="F92" s="1"/>
      <c r="G92" s="1"/>
      <c r="H92" s="1"/>
      <c r="Q92" s="1"/>
      <c r="R92" s="1"/>
    </row>
    <row r="93" spans="1:18">
      <c r="A93" s="1" t="s">
        <v>1223</v>
      </c>
      <c r="B93" s="1" t="s">
        <v>1195</v>
      </c>
      <c r="C93" s="1" t="s">
        <v>1224</v>
      </c>
      <c r="D93" s="1" t="s">
        <v>1139</v>
      </c>
      <c r="E93" s="1"/>
      <c r="F93" s="1"/>
      <c r="G93" s="1"/>
      <c r="H93" s="1"/>
      <c r="Q93" s="1"/>
      <c r="R93" s="1"/>
    </row>
    <row r="94" spans="1:18">
      <c r="A94" s="1" t="s">
        <v>1178</v>
      </c>
      <c r="B94" s="1" t="s">
        <v>1225</v>
      </c>
      <c r="C94" s="1" t="s">
        <v>1226</v>
      </c>
      <c r="D94" s="1" t="s">
        <v>1144</v>
      </c>
      <c r="E94" s="1"/>
      <c r="F94" s="1"/>
      <c r="G94" s="1"/>
      <c r="H94" s="1"/>
      <c r="Q94" s="1"/>
      <c r="R94" s="1"/>
    </row>
    <row r="95" spans="1:18">
      <c r="A95" s="1" t="s">
        <v>1179</v>
      </c>
      <c r="B95" s="1" t="s">
        <v>1227</v>
      </c>
      <c r="C95" s="1" t="s">
        <v>1228</v>
      </c>
      <c r="D95" s="1" t="s">
        <v>1180</v>
      </c>
      <c r="E95" s="1"/>
      <c r="F95" s="1"/>
      <c r="G95" s="1"/>
      <c r="H95" s="1"/>
      <c r="Q95" s="1"/>
      <c r="R95" s="1"/>
    </row>
    <row r="96" spans="1:18">
      <c r="A96" s="1" t="s">
        <v>1229</v>
      </c>
      <c r="B96" s="1" t="s">
        <v>1230</v>
      </c>
      <c r="C96" s="1" t="s">
        <v>1231</v>
      </c>
      <c r="D96" s="1" t="s">
        <v>609</v>
      </c>
      <c r="E96" s="1"/>
      <c r="F96" s="1"/>
      <c r="G96" s="1"/>
      <c r="H96" s="1"/>
      <c r="Q96" s="1"/>
      <c r="R96" s="1"/>
    </row>
    <row r="97" spans="1:18">
      <c r="A97" s="1" t="s">
        <v>1183</v>
      </c>
      <c r="B97" s="1" t="s">
        <v>1232</v>
      </c>
      <c r="C97" s="1" t="s">
        <v>1233</v>
      </c>
      <c r="D97" s="1" t="s">
        <v>1234</v>
      </c>
      <c r="E97" s="1"/>
      <c r="F97" s="1"/>
      <c r="G97" s="1"/>
      <c r="H97" s="1"/>
      <c r="Q97" s="1"/>
      <c r="R97" s="1"/>
    </row>
    <row r="98" spans="1:18">
      <c r="A98" s="1" t="s">
        <v>1184</v>
      </c>
      <c r="B98" s="1" t="s">
        <v>1235</v>
      </c>
      <c r="C98" s="1" t="s">
        <v>1236</v>
      </c>
      <c r="D98" s="1" t="s">
        <v>1185</v>
      </c>
      <c r="E98" s="1"/>
      <c r="F98" s="1"/>
      <c r="G98" s="1"/>
      <c r="H98" s="1"/>
      <c r="Q98" s="1"/>
      <c r="R98" s="1"/>
    </row>
    <row r="99" spans="1:18">
      <c r="A99" s="1" t="s">
        <v>1052</v>
      </c>
      <c r="B99" s="1" t="s">
        <v>1237</v>
      </c>
      <c r="C99" s="1" t="s">
        <v>1238</v>
      </c>
      <c r="D99" s="1" t="s">
        <v>1154</v>
      </c>
      <c r="E99" s="1"/>
      <c r="F99" s="1"/>
      <c r="G99" s="1"/>
      <c r="H99" s="1"/>
      <c r="Q99" s="1"/>
      <c r="R99" s="1"/>
    </row>
    <row r="100" spans="1:18">
      <c r="A100" s="1" t="s">
        <v>1188</v>
      </c>
      <c r="B100" s="1" t="s">
        <v>1239</v>
      </c>
      <c r="C100" s="1" t="s">
        <v>1240</v>
      </c>
      <c r="D100" s="1" t="s">
        <v>609</v>
      </c>
      <c r="E100" s="1"/>
      <c r="F100" s="1"/>
      <c r="G100" s="1"/>
      <c r="H100" s="1"/>
      <c r="Q100" s="1"/>
      <c r="R100" s="1"/>
    </row>
    <row r="101" spans="1:18">
      <c r="A101" s="1" t="s">
        <v>1055</v>
      </c>
      <c r="B101" s="1" t="s">
        <v>1079</v>
      </c>
      <c r="C101" s="1" t="s">
        <v>1241</v>
      </c>
      <c r="D101" s="1" t="s">
        <v>1158</v>
      </c>
      <c r="E101" s="1"/>
      <c r="F101" s="1"/>
      <c r="G101" s="1"/>
      <c r="H101" s="1"/>
      <c r="Q101" s="1"/>
      <c r="R101" s="1"/>
    </row>
    <row r="102" spans="1:18">
      <c r="A102" s="1" t="s">
        <v>1191</v>
      </c>
      <c r="B102" s="1" t="s">
        <v>1242</v>
      </c>
      <c r="C102" s="1" t="s">
        <v>1243</v>
      </c>
      <c r="D102" s="1" t="s">
        <v>1192</v>
      </c>
      <c r="E102" s="1"/>
      <c r="F102" s="1"/>
      <c r="G102" s="1"/>
      <c r="H102" s="1"/>
      <c r="Q102" s="1"/>
      <c r="R102" s="1"/>
    </row>
    <row r="103" spans="1:18">
      <c r="A103" s="1" t="s">
        <v>1244</v>
      </c>
      <c r="B103" s="1" t="s">
        <v>1245</v>
      </c>
      <c r="C103" s="1" t="s">
        <v>1246</v>
      </c>
      <c r="D103" s="1" t="s">
        <v>1247</v>
      </c>
      <c r="E103" s="1"/>
      <c r="F103" s="1"/>
      <c r="G103" s="1"/>
      <c r="H103" s="1"/>
      <c r="Q103" s="1"/>
      <c r="R103" s="1"/>
    </row>
    <row r="104" spans="1:18">
      <c r="A104" s="1" t="s">
        <v>1248</v>
      </c>
      <c r="B104" s="1" t="s">
        <v>1249</v>
      </c>
      <c r="C104" s="1" t="s">
        <v>1250</v>
      </c>
      <c r="D104" s="1" t="s">
        <v>1251</v>
      </c>
      <c r="E104" s="1"/>
      <c r="F104" s="1"/>
      <c r="G104" s="1"/>
      <c r="H104" s="1"/>
      <c r="Q104" s="1"/>
      <c r="R104" s="1"/>
    </row>
    <row r="105" spans="1:18">
      <c r="A105" s="1"/>
      <c r="B105" s="1"/>
      <c r="C105" s="1"/>
      <c r="D105" s="1"/>
      <c r="E105" s="1"/>
      <c r="F105" s="1"/>
      <c r="G105" s="1"/>
      <c r="H105" s="1"/>
      <c r="Q105" s="1"/>
      <c r="R105" s="1"/>
    </row>
    <row r="106" spans="1:18">
      <c r="A106" s="1" t="s">
        <v>333</v>
      </c>
      <c r="B106" s="1" t="s">
        <v>1214</v>
      </c>
      <c r="C106" s="1" t="s">
        <v>1215</v>
      </c>
      <c r="D106" s="1" t="s">
        <v>1216</v>
      </c>
      <c r="E106" s="1"/>
      <c r="F106" s="1"/>
      <c r="G106" s="1"/>
      <c r="H106" s="1"/>
      <c r="Q106" s="1"/>
      <c r="R106" s="1"/>
    </row>
    <row r="107" spans="1:18">
      <c r="A107" s="1" t="s">
        <v>1061</v>
      </c>
      <c r="B107" s="1" t="s">
        <v>1076</v>
      </c>
      <c r="C107" s="1" t="s">
        <v>1252</v>
      </c>
      <c r="D107" s="1" t="s">
        <v>1207</v>
      </c>
      <c r="E107" s="1"/>
      <c r="F107" s="1"/>
      <c r="G107" s="1"/>
      <c r="H107" s="1"/>
      <c r="Q107" s="1"/>
      <c r="R107" s="1"/>
    </row>
    <row r="108" spans="1:18">
      <c r="A108" s="1" t="s">
        <v>1063</v>
      </c>
      <c r="B108" s="1" t="s">
        <v>1079</v>
      </c>
      <c r="C108" s="1" t="s">
        <v>1253</v>
      </c>
      <c r="D108" s="1" t="s">
        <v>1159</v>
      </c>
      <c r="E108" s="1"/>
      <c r="F108" s="1"/>
      <c r="G108" s="1"/>
      <c r="H108" s="1"/>
      <c r="Q108" s="1"/>
      <c r="R108" s="1"/>
    </row>
    <row r="109" spans="1:18">
      <c r="A109" s="1" t="s">
        <v>1066</v>
      </c>
      <c r="B109" s="1" t="s">
        <v>1254</v>
      </c>
      <c r="C109" s="1" t="s">
        <v>1255</v>
      </c>
      <c r="D109" s="1" t="s">
        <v>1162</v>
      </c>
      <c r="E109" s="1"/>
      <c r="F109" s="1"/>
      <c r="G109" s="1"/>
      <c r="H109" s="1"/>
      <c r="Q109" s="1"/>
      <c r="R109" s="1"/>
    </row>
    <row r="110" spans="1:18">
      <c r="A110" s="1" t="s">
        <v>1068</v>
      </c>
      <c r="B110" s="1" t="s">
        <v>1167</v>
      </c>
      <c r="C110" s="1" t="s">
        <v>1256</v>
      </c>
      <c r="D110" s="1" t="s">
        <v>580</v>
      </c>
      <c r="E110" s="1"/>
      <c r="F110" s="1"/>
      <c r="G110" s="1"/>
      <c r="H110" s="1"/>
      <c r="Q110" s="1"/>
      <c r="R110" s="1"/>
    </row>
    <row r="111" spans="1:18">
      <c r="A111" s="1" t="s">
        <v>1071</v>
      </c>
      <c r="B111" s="1" t="s">
        <v>1257</v>
      </c>
      <c r="C111" s="1" t="s">
        <v>1258</v>
      </c>
      <c r="D111" s="1" t="s">
        <v>1212</v>
      </c>
      <c r="E111" s="1"/>
      <c r="F111" s="1"/>
      <c r="G111" s="1"/>
      <c r="H111" s="1"/>
      <c r="Q111" s="1"/>
      <c r="R111" s="1"/>
    </row>
    <row r="112" spans="1:18">
      <c r="A112" s="1" t="s">
        <v>1259</v>
      </c>
      <c r="B112" s="1" t="s">
        <v>1260</v>
      </c>
      <c r="C112" s="1" t="s">
        <v>1261</v>
      </c>
      <c r="D112" s="1" t="s">
        <v>1185</v>
      </c>
      <c r="E112" s="1"/>
      <c r="F112" s="1"/>
      <c r="G112" s="1"/>
      <c r="H112" s="1"/>
      <c r="Q112" s="1"/>
      <c r="R112" s="1"/>
    </row>
    <row r="113" spans="1:18">
      <c r="A113" s="1" t="s">
        <v>1262</v>
      </c>
      <c r="B113" s="1" t="s">
        <v>1263</v>
      </c>
      <c r="C113" s="1" t="s">
        <v>1264</v>
      </c>
      <c r="D113" s="1" t="s">
        <v>1265</v>
      </c>
      <c r="E113" s="1"/>
      <c r="F113" s="1"/>
      <c r="G113" s="1"/>
      <c r="H113" s="1"/>
      <c r="Q113" s="1"/>
      <c r="R113" s="1"/>
    </row>
    <row r="114" spans="1:18">
      <c r="A114" s="1" t="s">
        <v>1266</v>
      </c>
      <c r="B114" s="1" t="s">
        <v>1267</v>
      </c>
      <c r="C114" s="1" t="s">
        <v>1268</v>
      </c>
      <c r="D114" s="1" t="s">
        <v>612</v>
      </c>
      <c r="E114" s="1"/>
      <c r="F114" s="1"/>
      <c r="G114" s="1"/>
      <c r="H114" s="1"/>
      <c r="Q114" s="1"/>
      <c r="R114" s="1"/>
    </row>
    <row r="115" spans="1:18">
      <c r="Q115" s="1"/>
      <c r="R115" s="1"/>
    </row>
    <row r="116" spans="1:18">
      <c r="A116" t="s">
        <v>1269</v>
      </c>
      <c r="Q116" s="1"/>
      <c r="R116" s="1"/>
    </row>
    <row r="117" spans="1:18">
      <c r="Q117" s="1"/>
      <c r="R117" s="1"/>
    </row>
    <row r="118" spans="1:18">
      <c r="A118" t="s">
        <v>1270</v>
      </c>
      <c r="Q118" s="1"/>
      <c r="R118" s="1"/>
    </row>
    <row r="119" spans="1:18">
      <c r="A119" t="s">
        <v>1271</v>
      </c>
      <c r="Q119" s="1"/>
      <c r="R119" s="1"/>
    </row>
    <row r="120" spans="1:18">
      <c r="A120" t="s">
        <v>1272</v>
      </c>
      <c r="Q120" s="1"/>
      <c r="R120" s="1"/>
    </row>
    <row r="121" spans="1:18">
      <c r="A121" t="s">
        <v>1273</v>
      </c>
      <c r="Q121" s="1"/>
      <c r="R121" s="1"/>
    </row>
    <row r="122" spans="1:18">
      <c r="A122" t="s">
        <v>1274</v>
      </c>
      <c r="Q122" s="1"/>
      <c r="R122" s="1"/>
    </row>
    <row r="123" spans="1:18">
      <c r="A123" t="s">
        <v>1275</v>
      </c>
      <c r="Q123" s="1"/>
      <c r="R123" s="1"/>
    </row>
    <row r="124" spans="1:18">
      <c r="A124" t="s">
        <v>1276</v>
      </c>
      <c r="Q124" s="1"/>
      <c r="R124" s="1"/>
    </row>
    <row r="125" spans="1:18">
      <c r="A125" t="s">
        <v>1277</v>
      </c>
      <c r="Q125" s="1"/>
      <c r="R125" s="1"/>
    </row>
    <row r="126" spans="1:18">
      <c r="A126" t="s">
        <v>1278</v>
      </c>
      <c r="Q126" s="1"/>
      <c r="R126" s="1"/>
    </row>
    <row r="127" spans="1:18">
      <c r="A127" t="s">
        <v>1279</v>
      </c>
      <c r="Q127" s="1"/>
      <c r="R127" s="1"/>
    </row>
    <row r="128" spans="1:18">
      <c r="A128" t="s">
        <v>1280</v>
      </c>
      <c r="Q128" s="1"/>
      <c r="R128" s="1"/>
    </row>
    <row r="129" spans="1:18">
      <c r="A129" t="s">
        <v>1281</v>
      </c>
      <c r="Q129" s="1"/>
      <c r="R129" s="1"/>
    </row>
    <row r="130" spans="1:18">
      <c r="A130" t="s">
        <v>1282</v>
      </c>
      <c r="Q130" s="1"/>
      <c r="R130" s="1"/>
    </row>
    <row r="131" spans="1:18">
      <c r="A131" t="s">
        <v>1283</v>
      </c>
      <c r="Q131" s="1"/>
      <c r="R131" s="1"/>
    </row>
    <row r="132" spans="1:18">
      <c r="A132" t="s">
        <v>1284</v>
      </c>
      <c r="Q132" s="1"/>
      <c r="R132" s="1"/>
    </row>
    <row r="133" spans="1:18">
      <c r="A133" t="s">
        <v>1285</v>
      </c>
      <c r="Q133" s="1"/>
      <c r="R133" s="1"/>
    </row>
    <row r="134" spans="1:18">
      <c r="A134" t="s">
        <v>1286</v>
      </c>
      <c r="Q134" s="1"/>
      <c r="R134" s="1"/>
    </row>
    <row r="135" spans="1:18">
      <c r="A135" t="s">
        <v>1287</v>
      </c>
      <c r="Q135" s="1"/>
      <c r="R135" s="1"/>
    </row>
    <row r="136" spans="1:18">
      <c r="A136" t="s">
        <v>1288</v>
      </c>
      <c r="Q136" s="1"/>
      <c r="R136" s="1"/>
    </row>
    <row r="137" spans="1:18">
      <c r="A137" t="s">
        <v>1289</v>
      </c>
      <c r="Q137" s="1"/>
      <c r="R137" s="1"/>
    </row>
    <row r="138" spans="1:18">
      <c r="A138" t="s">
        <v>1290</v>
      </c>
      <c r="Q138" s="1"/>
      <c r="R138" s="1"/>
    </row>
    <row r="139" spans="1:18">
      <c r="A139" t="s">
        <v>1291</v>
      </c>
      <c r="Q139" s="1"/>
      <c r="R139" s="1"/>
    </row>
    <row r="140" spans="1:18">
      <c r="A140" t="s">
        <v>1292</v>
      </c>
      <c r="Q140" s="1"/>
      <c r="R140" s="1"/>
    </row>
    <row r="141" spans="1:18">
      <c r="A141" t="s">
        <v>1293</v>
      </c>
      <c r="Q141" s="1"/>
      <c r="R141" s="1"/>
    </row>
    <row r="142" spans="1:18">
      <c r="A142" t="s">
        <v>1294</v>
      </c>
      <c r="Q142" s="1"/>
      <c r="R142" s="1"/>
    </row>
    <row r="143" spans="1:18">
      <c r="A143" t="s">
        <v>1295</v>
      </c>
      <c r="Q143" s="1"/>
      <c r="R143" s="1"/>
    </row>
    <row r="144" spans="1:18">
      <c r="A144" t="s">
        <v>1296</v>
      </c>
      <c r="Q144" s="1"/>
      <c r="R144" s="1"/>
    </row>
    <row r="145" spans="1:18">
      <c r="A145" t="s">
        <v>1297</v>
      </c>
      <c r="Q145" s="1"/>
      <c r="R145" s="1"/>
    </row>
    <row r="146" spans="1:18">
      <c r="A146" t="s">
        <v>1298</v>
      </c>
      <c r="Q146" s="1"/>
      <c r="R146" s="1"/>
    </row>
    <row r="147" spans="1:18">
      <c r="A147" t="s">
        <v>1299</v>
      </c>
      <c r="Q147" s="1"/>
      <c r="R147" s="1"/>
    </row>
    <row r="148" spans="1:18">
      <c r="A148" t="s">
        <v>1300</v>
      </c>
      <c r="Q148" s="1"/>
      <c r="R148" s="1"/>
    </row>
    <row r="149" spans="1:18">
      <c r="A149" t="s">
        <v>1301</v>
      </c>
      <c r="Q149" s="1"/>
      <c r="R149" s="1"/>
    </row>
    <row r="150" spans="1:18">
      <c r="A150" t="s">
        <v>1302</v>
      </c>
      <c r="Q150" s="1"/>
      <c r="R150" s="1"/>
    </row>
    <row r="151" spans="1:18">
      <c r="A151" t="s">
        <v>1303</v>
      </c>
      <c r="Q151" s="1"/>
      <c r="R151" s="1"/>
    </row>
    <row r="152" spans="1:18">
      <c r="A152" t="s">
        <v>1304</v>
      </c>
      <c r="Q152" s="1"/>
      <c r="R152" s="1"/>
    </row>
    <row r="153" spans="1:18">
      <c r="A153" t="s">
        <v>1305</v>
      </c>
      <c r="Q153" s="1"/>
      <c r="R153" s="1"/>
    </row>
    <row r="154" spans="1:18">
      <c r="A154" t="s">
        <v>1306</v>
      </c>
      <c r="Q154" s="1"/>
      <c r="R154" s="1"/>
    </row>
    <row r="155" spans="1:18">
      <c r="A155" t="s">
        <v>1307</v>
      </c>
      <c r="Q155" s="1"/>
      <c r="R155" s="1"/>
    </row>
    <row r="156" spans="1:18">
      <c r="A156" t="s">
        <v>1308</v>
      </c>
      <c r="Q156" s="1"/>
      <c r="R156" s="1"/>
    </row>
    <row r="157" spans="1:18">
      <c r="A157" t="s">
        <v>1309</v>
      </c>
      <c r="Q157" s="1"/>
      <c r="R157" s="1"/>
    </row>
    <row r="158" spans="1:18">
      <c r="A158" t="s">
        <v>1310</v>
      </c>
      <c r="Q158" s="1"/>
      <c r="R158" s="1"/>
    </row>
    <row r="159" spans="1:18">
      <c r="A159" t="s">
        <v>1311</v>
      </c>
      <c r="Q159" s="1"/>
      <c r="R159" s="1"/>
    </row>
    <row r="160" spans="1:18">
      <c r="Q160" s="1"/>
      <c r="R160" s="1"/>
    </row>
    <row r="161" spans="1:18">
      <c r="A161" t="s">
        <v>1312</v>
      </c>
      <c r="Q161" s="1"/>
      <c r="R161" s="1"/>
    </row>
    <row r="162" spans="1:18">
      <c r="Q162" s="1"/>
      <c r="R162" s="1"/>
    </row>
    <row r="163" spans="1:18">
      <c r="Q163" s="1"/>
      <c r="R163" s="1"/>
    </row>
    <row r="164" spans="1:18">
      <c r="Q164" s="1"/>
      <c r="R164" s="1"/>
    </row>
    <row r="165" spans="1:18">
      <c r="Q165" s="1"/>
      <c r="R165" s="1"/>
    </row>
    <row r="166" spans="1:18">
      <c r="Q166" s="1"/>
      <c r="R166" s="1"/>
    </row>
    <row r="167" spans="1:18">
      <c r="Q167" s="1"/>
      <c r="R167" s="1"/>
    </row>
    <row r="168" spans="1:18">
      <c r="Q168" s="1"/>
      <c r="R168" s="1"/>
    </row>
    <row r="169" spans="1:18">
      <c r="Q169" s="1"/>
      <c r="R169" s="1"/>
    </row>
    <row r="170" spans="1:18">
      <c r="Q170" s="1"/>
      <c r="R170" s="1"/>
    </row>
    <row r="171" spans="1:18">
      <c r="Q171" s="1"/>
      <c r="R171" s="1"/>
    </row>
    <row r="172" spans="1:18">
      <c r="Q172" s="1"/>
      <c r="R172" s="1"/>
    </row>
    <row r="173" spans="1:18">
      <c r="Q173" s="1"/>
      <c r="R173" s="1"/>
    </row>
    <row r="174" spans="1:18">
      <c r="Q174" s="1"/>
      <c r="R174" s="1"/>
    </row>
    <row r="175" spans="1:18">
      <c r="A175" t="s">
        <v>1313</v>
      </c>
      <c r="B175" t="s">
        <v>1314</v>
      </c>
      <c r="C175" t="s">
        <v>11</v>
      </c>
      <c r="D175" t="s">
        <v>13</v>
      </c>
      <c r="E175" t="s">
        <v>9</v>
      </c>
      <c r="F175" t="s">
        <v>1315</v>
      </c>
      <c r="G175" t="s">
        <v>1316</v>
      </c>
      <c r="Q175" s="1"/>
      <c r="R175" s="1"/>
    </row>
    <row r="176" spans="1:18">
      <c r="A176">
        <v>1</v>
      </c>
      <c r="B176" t="s">
        <v>1061</v>
      </c>
      <c r="C176">
        <v>2</v>
      </c>
      <c r="D176">
        <v>3</v>
      </c>
      <c r="E176">
        <v>2</v>
      </c>
      <c r="F176">
        <v>7</v>
      </c>
      <c r="G176" t="s">
        <v>1317</v>
      </c>
      <c r="Q176" s="1"/>
      <c r="R176" s="1"/>
    </row>
    <row r="177" spans="1:18">
      <c r="A177">
        <v>2</v>
      </c>
      <c r="B177" t="s">
        <v>1318</v>
      </c>
      <c r="C177">
        <v>2</v>
      </c>
      <c r="D177">
        <v>4</v>
      </c>
      <c r="E177">
        <v>1</v>
      </c>
      <c r="F177">
        <v>7</v>
      </c>
      <c r="G177" t="s">
        <v>1319</v>
      </c>
      <c r="Q177" s="1"/>
      <c r="R177" s="1"/>
    </row>
    <row r="178" spans="1:18">
      <c r="A178">
        <v>3</v>
      </c>
      <c r="B178" t="s">
        <v>1320</v>
      </c>
      <c r="C178">
        <v>1</v>
      </c>
      <c r="D178">
        <v>4</v>
      </c>
      <c r="E178">
        <v>2</v>
      </c>
      <c r="F178">
        <v>7</v>
      </c>
      <c r="G178" t="s">
        <v>1319</v>
      </c>
      <c r="Q178" s="1"/>
      <c r="R178" s="1"/>
    </row>
    <row r="179" spans="1:18">
      <c r="A179">
        <v>4</v>
      </c>
      <c r="B179" t="s">
        <v>1321</v>
      </c>
      <c r="C179">
        <v>1</v>
      </c>
      <c r="D179">
        <v>5</v>
      </c>
      <c r="E179">
        <v>1</v>
      </c>
      <c r="F179">
        <v>7</v>
      </c>
      <c r="G179" t="s">
        <v>1322</v>
      </c>
      <c r="Q179" s="1"/>
      <c r="R179" s="1"/>
    </row>
    <row r="180" spans="1:18">
      <c r="A180">
        <v>5</v>
      </c>
      <c r="B180" t="s">
        <v>1323</v>
      </c>
      <c r="C180">
        <v>2</v>
      </c>
      <c r="D180">
        <v>4</v>
      </c>
      <c r="E180">
        <v>1</v>
      </c>
      <c r="F180">
        <v>7</v>
      </c>
      <c r="G180" t="s">
        <v>1319</v>
      </c>
      <c r="Q180" s="1"/>
      <c r="R180" s="1"/>
    </row>
    <row r="181" spans="1:18">
      <c r="A181">
        <v>6</v>
      </c>
      <c r="B181" t="s">
        <v>1324</v>
      </c>
      <c r="C181">
        <v>2</v>
      </c>
      <c r="D181">
        <v>3</v>
      </c>
      <c r="E181">
        <v>2</v>
      </c>
      <c r="F181">
        <v>7</v>
      </c>
      <c r="G181" t="s">
        <v>1317</v>
      </c>
      <c r="Q181" s="1"/>
      <c r="R181" s="1"/>
    </row>
    <row r="182" spans="1:18">
      <c r="A182">
        <v>7</v>
      </c>
      <c r="B182" t="s">
        <v>1325</v>
      </c>
      <c r="C182">
        <v>2</v>
      </c>
      <c r="D182">
        <v>4</v>
      </c>
      <c r="E182">
        <v>1</v>
      </c>
      <c r="F182">
        <v>7</v>
      </c>
      <c r="G182" t="s">
        <v>1319</v>
      </c>
      <c r="Q182" s="1"/>
      <c r="R182" s="1"/>
    </row>
    <row r="183" spans="1:18">
      <c r="A183">
        <v>8</v>
      </c>
      <c r="B183" t="s">
        <v>1326</v>
      </c>
      <c r="C183">
        <v>3</v>
      </c>
      <c r="D183">
        <v>2</v>
      </c>
      <c r="E183">
        <v>2</v>
      </c>
      <c r="F183">
        <v>7</v>
      </c>
      <c r="G183" t="s">
        <v>1327</v>
      </c>
      <c r="Q183" s="1"/>
      <c r="R183" s="1"/>
    </row>
    <row r="184" spans="1:18">
      <c r="A184">
        <v>9</v>
      </c>
      <c r="B184" t="s">
        <v>1328</v>
      </c>
      <c r="C184">
        <v>1</v>
      </c>
      <c r="D184">
        <v>4</v>
      </c>
      <c r="E184">
        <v>2</v>
      </c>
      <c r="F184">
        <v>7</v>
      </c>
      <c r="G184" t="s">
        <v>1319</v>
      </c>
      <c r="Q184" s="1"/>
      <c r="R184" s="1"/>
    </row>
    <row r="185" spans="1:18">
      <c r="A185">
        <v>10</v>
      </c>
      <c r="B185" t="s">
        <v>1329</v>
      </c>
      <c r="C185">
        <v>2</v>
      </c>
      <c r="D185">
        <v>1</v>
      </c>
      <c r="E185">
        <v>4</v>
      </c>
      <c r="F185">
        <v>7</v>
      </c>
      <c r="G185" t="s">
        <v>1330</v>
      </c>
      <c r="Q185" s="1"/>
      <c r="R185" s="1"/>
    </row>
    <row r="186" spans="1:18">
      <c r="A186">
        <v>11</v>
      </c>
      <c r="B186" t="s">
        <v>1331</v>
      </c>
      <c r="C186">
        <v>5</v>
      </c>
      <c r="D186">
        <v>1</v>
      </c>
      <c r="E186">
        <v>1</v>
      </c>
      <c r="F186">
        <v>7</v>
      </c>
      <c r="G186" t="s">
        <v>1332</v>
      </c>
      <c r="Q186" s="1"/>
      <c r="R186" s="1"/>
    </row>
    <row r="187" spans="1:18">
      <c r="A187">
        <v>12</v>
      </c>
      <c r="B187" t="s">
        <v>1333</v>
      </c>
      <c r="C187">
        <v>4</v>
      </c>
      <c r="D187">
        <v>1</v>
      </c>
      <c r="E187">
        <v>2</v>
      </c>
      <c r="F187">
        <v>7</v>
      </c>
      <c r="G187" t="s">
        <v>1334</v>
      </c>
      <c r="Q187" s="1"/>
      <c r="R187" s="1"/>
    </row>
    <row r="188" spans="1:18">
      <c r="A188">
        <v>13</v>
      </c>
      <c r="B188" t="s">
        <v>1335</v>
      </c>
      <c r="C188">
        <v>5</v>
      </c>
      <c r="D188">
        <v>1</v>
      </c>
      <c r="E188">
        <v>1</v>
      </c>
      <c r="F188">
        <v>7</v>
      </c>
      <c r="G188" t="s">
        <v>1332</v>
      </c>
      <c r="Q188" s="1"/>
      <c r="R188" s="1"/>
    </row>
    <row r="189" spans="1:18">
      <c r="A189">
        <v>14</v>
      </c>
      <c r="B189" t="s">
        <v>1336</v>
      </c>
      <c r="C189">
        <v>4</v>
      </c>
      <c r="D189">
        <v>1</v>
      </c>
      <c r="E189">
        <v>2</v>
      </c>
      <c r="F189">
        <v>7</v>
      </c>
      <c r="G189" t="s">
        <v>1334</v>
      </c>
      <c r="Q189" s="1"/>
      <c r="R189" s="1"/>
    </row>
    <row r="190" spans="1:18">
      <c r="A190">
        <v>15</v>
      </c>
      <c r="B190" t="s">
        <v>1337</v>
      </c>
      <c r="C190">
        <v>2</v>
      </c>
      <c r="D190">
        <v>2</v>
      </c>
      <c r="E190">
        <v>3</v>
      </c>
      <c r="F190">
        <v>7</v>
      </c>
      <c r="G190" t="s">
        <v>1338</v>
      </c>
      <c r="Q190" s="1"/>
      <c r="R190" s="1"/>
    </row>
    <row r="191" spans="1:18">
      <c r="A191">
        <v>16</v>
      </c>
      <c r="B191" t="s">
        <v>1339</v>
      </c>
      <c r="C191">
        <v>3</v>
      </c>
      <c r="D191">
        <v>1</v>
      </c>
      <c r="E191">
        <v>3</v>
      </c>
      <c r="F191">
        <v>7</v>
      </c>
      <c r="G191" t="s">
        <v>1340</v>
      </c>
      <c r="Q191" s="1"/>
      <c r="R191" s="1"/>
    </row>
    <row r="192" spans="1:18">
      <c r="A192">
        <v>17</v>
      </c>
      <c r="B192" t="s">
        <v>1341</v>
      </c>
      <c r="C192">
        <v>2</v>
      </c>
      <c r="D192">
        <v>1</v>
      </c>
      <c r="E192">
        <v>4</v>
      </c>
      <c r="F192">
        <v>7</v>
      </c>
      <c r="G192" t="s">
        <v>1330</v>
      </c>
      <c r="Q192" s="1"/>
      <c r="R192" s="1"/>
    </row>
    <row r="193" spans="1:18">
      <c r="A193">
        <v>18</v>
      </c>
      <c r="B193" t="s">
        <v>1342</v>
      </c>
      <c r="C193">
        <v>3</v>
      </c>
      <c r="D193">
        <v>3</v>
      </c>
      <c r="E193">
        <v>1</v>
      </c>
      <c r="F193">
        <v>7</v>
      </c>
      <c r="G193" t="s">
        <v>1343</v>
      </c>
      <c r="Q193" s="1"/>
      <c r="R193" s="1"/>
    </row>
    <row r="194" spans="1:18">
      <c r="A194">
        <v>19</v>
      </c>
      <c r="B194" t="s">
        <v>1344</v>
      </c>
      <c r="C194">
        <v>2</v>
      </c>
      <c r="D194">
        <v>1</v>
      </c>
      <c r="E194">
        <v>4</v>
      </c>
      <c r="F194">
        <v>7</v>
      </c>
      <c r="G194" t="s">
        <v>1330</v>
      </c>
      <c r="Q194" s="1"/>
      <c r="R194" s="1"/>
    </row>
    <row r="195" spans="1:18">
      <c r="A195">
        <v>20</v>
      </c>
      <c r="B195" t="s">
        <v>1345</v>
      </c>
      <c r="C195">
        <v>4</v>
      </c>
      <c r="D195">
        <v>2</v>
      </c>
      <c r="E195">
        <v>1</v>
      </c>
      <c r="F195">
        <v>7</v>
      </c>
      <c r="G195" t="s">
        <v>1346</v>
      </c>
      <c r="Q195" s="1"/>
      <c r="R195" s="1"/>
    </row>
    <row r="196" spans="1:18">
      <c r="A196">
        <v>21</v>
      </c>
      <c r="B196" t="s">
        <v>1347</v>
      </c>
      <c r="C196">
        <v>3</v>
      </c>
      <c r="D196">
        <v>2</v>
      </c>
      <c r="E196">
        <v>2</v>
      </c>
      <c r="F196">
        <v>7</v>
      </c>
      <c r="G196" t="s">
        <v>1327</v>
      </c>
      <c r="Q196" s="1"/>
      <c r="R196" s="1"/>
    </row>
    <row r="197" spans="1:18">
      <c r="A197">
        <v>22</v>
      </c>
      <c r="B197" t="s">
        <v>1348</v>
      </c>
      <c r="C197">
        <v>3</v>
      </c>
      <c r="D197">
        <v>2</v>
      </c>
      <c r="E197">
        <v>2</v>
      </c>
      <c r="F197">
        <v>7</v>
      </c>
      <c r="G197" t="s">
        <v>1327</v>
      </c>
      <c r="Q197" s="1"/>
      <c r="R197" s="1"/>
    </row>
    <row r="198" spans="1:18">
      <c r="A198">
        <v>23</v>
      </c>
      <c r="B198" t="s">
        <v>1349</v>
      </c>
      <c r="C198">
        <v>1</v>
      </c>
      <c r="D198">
        <v>2</v>
      </c>
      <c r="E198">
        <v>4</v>
      </c>
      <c r="F198">
        <v>7</v>
      </c>
      <c r="G198" t="s">
        <v>1330</v>
      </c>
      <c r="Q198" s="1"/>
      <c r="R198" s="1"/>
    </row>
    <row r="199" spans="1:18">
      <c r="A199">
        <v>24</v>
      </c>
      <c r="B199" t="s">
        <v>1350</v>
      </c>
      <c r="C199">
        <v>3</v>
      </c>
      <c r="D199">
        <v>1</v>
      </c>
      <c r="E199">
        <v>3</v>
      </c>
      <c r="F199">
        <v>7</v>
      </c>
      <c r="G199" t="s">
        <v>1340</v>
      </c>
      <c r="Q199" s="1"/>
      <c r="R199" s="1"/>
    </row>
    <row r="200" spans="1:18">
      <c r="A200">
        <v>25</v>
      </c>
      <c r="B200" t="s">
        <v>1351</v>
      </c>
      <c r="C200">
        <v>5</v>
      </c>
      <c r="D200">
        <v>1</v>
      </c>
      <c r="E200">
        <v>1</v>
      </c>
      <c r="F200">
        <v>7</v>
      </c>
      <c r="G200" t="s">
        <v>1332</v>
      </c>
      <c r="Q200" s="1"/>
      <c r="R200" s="1"/>
    </row>
    <row r="201" spans="1:18">
      <c r="A201">
        <v>26</v>
      </c>
      <c r="B201" t="s">
        <v>1352</v>
      </c>
      <c r="C201">
        <v>3</v>
      </c>
      <c r="D201">
        <v>3</v>
      </c>
      <c r="E201">
        <v>1</v>
      </c>
      <c r="F201">
        <v>7</v>
      </c>
      <c r="G201" t="s">
        <v>1343</v>
      </c>
      <c r="Q201" s="1"/>
      <c r="R201" s="1"/>
    </row>
    <row r="202" spans="1:18">
      <c r="A202">
        <v>27</v>
      </c>
      <c r="B202" t="s">
        <v>1353</v>
      </c>
      <c r="C202">
        <v>2</v>
      </c>
      <c r="D202">
        <v>4</v>
      </c>
      <c r="E202">
        <v>1</v>
      </c>
      <c r="F202">
        <v>7</v>
      </c>
      <c r="G202" t="s">
        <v>1319</v>
      </c>
      <c r="Q202" s="1"/>
      <c r="R202" s="1"/>
    </row>
    <row r="203" spans="1:18">
      <c r="A203">
        <v>28</v>
      </c>
      <c r="B203" t="s">
        <v>1354</v>
      </c>
      <c r="C203">
        <v>4</v>
      </c>
      <c r="D203">
        <v>1</v>
      </c>
      <c r="E203">
        <v>2</v>
      </c>
      <c r="F203">
        <v>7</v>
      </c>
      <c r="G203" t="s">
        <v>1334</v>
      </c>
      <c r="Q203" s="1"/>
      <c r="R203" s="1"/>
    </row>
    <row r="204" spans="1:18">
      <c r="A204">
        <v>29</v>
      </c>
      <c r="B204" t="s">
        <v>1355</v>
      </c>
      <c r="C204">
        <v>2</v>
      </c>
      <c r="D204">
        <v>3</v>
      </c>
      <c r="E204">
        <v>2</v>
      </c>
      <c r="F204">
        <v>7</v>
      </c>
      <c r="G204" t="s">
        <v>1317</v>
      </c>
      <c r="Q204" s="1"/>
      <c r="R204" s="1"/>
    </row>
    <row r="205" spans="1:18">
      <c r="A205">
        <v>30</v>
      </c>
      <c r="B205" t="s">
        <v>1356</v>
      </c>
      <c r="C205">
        <v>3</v>
      </c>
      <c r="D205">
        <v>1</v>
      </c>
      <c r="E205">
        <v>3</v>
      </c>
      <c r="F205">
        <v>7</v>
      </c>
      <c r="G205" t="s">
        <v>1340</v>
      </c>
      <c r="Q205" s="1"/>
      <c r="R205" s="1"/>
    </row>
    <row r="206" spans="1:18">
      <c r="A206">
        <v>31</v>
      </c>
      <c r="B206" t="s">
        <v>1357</v>
      </c>
      <c r="C206">
        <v>2</v>
      </c>
      <c r="D206">
        <v>1</v>
      </c>
      <c r="E206">
        <v>4</v>
      </c>
      <c r="F206">
        <v>7</v>
      </c>
      <c r="G206" t="s">
        <v>1330</v>
      </c>
      <c r="Q206" s="1"/>
      <c r="R206" s="1"/>
    </row>
    <row r="207" spans="1:18">
      <c r="A207">
        <v>32</v>
      </c>
      <c r="B207" t="s">
        <v>1358</v>
      </c>
      <c r="C207">
        <v>2</v>
      </c>
      <c r="D207">
        <v>4</v>
      </c>
      <c r="E207">
        <v>1</v>
      </c>
      <c r="F207">
        <v>7</v>
      </c>
      <c r="G207" t="s">
        <v>1319</v>
      </c>
      <c r="Q207" s="1"/>
      <c r="R207" s="1"/>
    </row>
    <row r="208" spans="1:18">
      <c r="A208">
        <v>33</v>
      </c>
      <c r="B208" t="s">
        <v>1359</v>
      </c>
      <c r="C208">
        <v>2</v>
      </c>
      <c r="D208">
        <v>2</v>
      </c>
      <c r="E208">
        <v>3</v>
      </c>
      <c r="F208">
        <v>7</v>
      </c>
      <c r="G208" t="s">
        <v>1338</v>
      </c>
      <c r="Q208" s="1"/>
      <c r="R208" s="1"/>
    </row>
    <row r="209" spans="1:18">
      <c r="A209">
        <v>34</v>
      </c>
      <c r="B209" t="s">
        <v>1360</v>
      </c>
      <c r="C209">
        <v>5</v>
      </c>
      <c r="D209">
        <v>1</v>
      </c>
      <c r="E209">
        <v>1</v>
      </c>
      <c r="F209">
        <v>7</v>
      </c>
      <c r="G209" t="s">
        <v>1332</v>
      </c>
      <c r="Q209" s="1"/>
      <c r="R209" s="1"/>
    </row>
    <row r="210" spans="1:18">
      <c r="A210">
        <v>35</v>
      </c>
      <c r="B210" t="s">
        <v>1361</v>
      </c>
      <c r="C210">
        <v>3</v>
      </c>
      <c r="D210">
        <v>1</v>
      </c>
      <c r="E210">
        <v>3</v>
      </c>
      <c r="F210">
        <v>7</v>
      </c>
      <c r="G210" t="s">
        <v>1340</v>
      </c>
      <c r="Q210" s="1"/>
      <c r="R210" s="1"/>
    </row>
    <row r="211" spans="1:18">
      <c r="A211">
        <v>36</v>
      </c>
      <c r="B211" t="s">
        <v>1362</v>
      </c>
      <c r="C211">
        <v>3</v>
      </c>
      <c r="D211">
        <v>2</v>
      </c>
      <c r="E211">
        <v>2</v>
      </c>
      <c r="F211">
        <v>7</v>
      </c>
      <c r="G211" t="s">
        <v>1327</v>
      </c>
      <c r="Q211" s="1"/>
      <c r="R211" s="1"/>
    </row>
    <row r="212" spans="1:18">
      <c r="A212">
        <v>37</v>
      </c>
      <c r="B212" t="s">
        <v>1363</v>
      </c>
      <c r="C212">
        <v>2</v>
      </c>
      <c r="D212">
        <v>4</v>
      </c>
      <c r="E212">
        <v>1</v>
      </c>
      <c r="F212">
        <v>7</v>
      </c>
      <c r="G212" t="s">
        <v>1319</v>
      </c>
      <c r="Q212" s="1"/>
      <c r="R212" s="1"/>
    </row>
    <row r="213" spans="1:18">
      <c r="A213">
        <v>38</v>
      </c>
      <c r="B213" t="s">
        <v>1364</v>
      </c>
      <c r="C213">
        <v>1</v>
      </c>
      <c r="D213">
        <v>5</v>
      </c>
      <c r="E213">
        <v>1</v>
      </c>
      <c r="F213">
        <v>7</v>
      </c>
      <c r="G213" t="s">
        <v>1322</v>
      </c>
      <c r="Q213" s="1"/>
      <c r="R213" s="1"/>
    </row>
    <row r="214" spans="1:18">
      <c r="A214">
        <v>39</v>
      </c>
      <c r="B214" t="s">
        <v>1365</v>
      </c>
      <c r="C214">
        <v>4</v>
      </c>
      <c r="D214">
        <v>1</v>
      </c>
      <c r="E214">
        <v>2</v>
      </c>
      <c r="F214">
        <v>7</v>
      </c>
      <c r="G214" t="s">
        <v>1334</v>
      </c>
      <c r="Q214" s="1"/>
      <c r="R214" s="1"/>
    </row>
    <row r="215" spans="1:18">
      <c r="A215">
        <v>40</v>
      </c>
      <c r="B215" t="s">
        <v>1366</v>
      </c>
      <c r="C215">
        <v>2</v>
      </c>
      <c r="D215">
        <v>4</v>
      </c>
      <c r="E215">
        <v>1</v>
      </c>
      <c r="F215">
        <v>7</v>
      </c>
      <c r="G215" t="s">
        <v>1319</v>
      </c>
      <c r="Q215" s="1"/>
      <c r="R215" s="1"/>
    </row>
    <row r="216" spans="1:18">
      <c r="A216" t="s">
        <v>1367</v>
      </c>
      <c r="B216" t="s">
        <v>463</v>
      </c>
      <c r="C216" t="s">
        <v>10</v>
      </c>
      <c r="D216" t="s">
        <v>12</v>
      </c>
      <c r="E216" t="s">
        <v>14</v>
      </c>
      <c r="F216" t="s">
        <v>1315</v>
      </c>
      <c r="G216" t="s">
        <v>1316</v>
      </c>
      <c r="Q216" s="1"/>
      <c r="R216" s="1"/>
    </row>
    <row r="217" spans="1:18">
      <c r="A217">
        <v>1</v>
      </c>
      <c r="B217" t="s">
        <v>1368</v>
      </c>
      <c r="C217">
        <v>4</v>
      </c>
      <c r="D217">
        <v>2</v>
      </c>
      <c r="E217">
        <v>1</v>
      </c>
      <c r="F217">
        <v>7</v>
      </c>
      <c r="G217" t="s">
        <v>1369</v>
      </c>
      <c r="Q217" s="1"/>
      <c r="R217" s="1"/>
    </row>
    <row r="218" spans="1:18">
      <c r="A218">
        <v>2</v>
      </c>
      <c r="B218" t="s">
        <v>1370</v>
      </c>
      <c r="C218">
        <v>4</v>
      </c>
      <c r="D218">
        <v>2</v>
      </c>
      <c r="E218">
        <v>1</v>
      </c>
      <c r="F218">
        <v>7</v>
      </c>
      <c r="G218" t="s">
        <v>1369</v>
      </c>
      <c r="Q218" s="1"/>
      <c r="R218" s="1"/>
    </row>
    <row r="219" spans="1:18">
      <c r="A219">
        <v>3</v>
      </c>
      <c r="B219" t="s">
        <v>1371</v>
      </c>
      <c r="C219">
        <v>2</v>
      </c>
      <c r="D219">
        <v>4</v>
      </c>
      <c r="E219">
        <v>1</v>
      </c>
      <c r="F219">
        <v>7</v>
      </c>
      <c r="G219" t="s">
        <v>1372</v>
      </c>
      <c r="Q219" s="1"/>
      <c r="R219" s="1"/>
    </row>
    <row r="220" spans="1:18">
      <c r="A220">
        <v>4</v>
      </c>
      <c r="B220" t="s">
        <v>1373</v>
      </c>
      <c r="C220">
        <v>2</v>
      </c>
      <c r="D220">
        <v>4</v>
      </c>
      <c r="E220">
        <v>1</v>
      </c>
      <c r="F220">
        <v>7</v>
      </c>
      <c r="G220" t="s">
        <v>1372</v>
      </c>
      <c r="Q220" s="1"/>
      <c r="R220" s="1"/>
    </row>
    <row r="221" spans="1:18">
      <c r="A221">
        <v>5</v>
      </c>
      <c r="B221" t="s">
        <v>1374</v>
      </c>
      <c r="C221">
        <v>5</v>
      </c>
      <c r="D221">
        <v>1</v>
      </c>
      <c r="E221">
        <v>1</v>
      </c>
      <c r="F221">
        <v>7</v>
      </c>
      <c r="G221" t="s">
        <v>1375</v>
      </c>
      <c r="Q221" s="1"/>
      <c r="R221" s="1"/>
    </row>
    <row r="222" spans="1:18">
      <c r="A222">
        <v>6</v>
      </c>
      <c r="B222" t="s">
        <v>1376</v>
      </c>
      <c r="C222">
        <v>4</v>
      </c>
      <c r="D222">
        <v>2</v>
      </c>
      <c r="E222">
        <v>1</v>
      </c>
      <c r="F222">
        <v>7</v>
      </c>
      <c r="G222" t="s">
        <v>1369</v>
      </c>
      <c r="Q222" s="1"/>
      <c r="R222" s="1"/>
    </row>
    <row r="223" spans="1:18">
      <c r="A223">
        <v>7</v>
      </c>
      <c r="B223" t="s">
        <v>1377</v>
      </c>
      <c r="C223">
        <v>2</v>
      </c>
      <c r="D223">
        <v>4</v>
      </c>
      <c r="E223">
        <v>1</v>
      </c>
      <c r="F223">
        <v>7</v>
      </c>
      <c r="G223" t="s">
        <v>1372</v>
      </c>
      <c r="Q223" s="1"/>
      <c r="R223" s="1"/>
    </row>
    <row r="224" spans="1:18">
      <c r="A224">
        <v>8</v>
      </c>
      <c r="B224" t="s">
        <v>1378</v>
      </c>
      <c r="C224">
        <v>5</v>
      </c>
      <c r="D224">
        <v>1</v>
      </c>
      <c r="E224">
        <v>1</v>
      </c>
      <c r="F224">
        <v>7</v>
      </c>
      <c r="G224" t="s">
        <v>1375</v>
      </c>
      <c r="Q224" s="1"/>
      <c r="R224" s="1"/>
    </row>
    <row r="225" spans="1:18">
      <c r="A225">
        <v>9</v>
      </c>
      <c r="B225" t="s">
        <v>1379</v>
      </c>
      <c r="C225">
        <v>4</v>
      </c>
      <c r="D225">
        <v>2</v>
      </c>
      <c r="E225">
        <v>1</v>
      </c>
      <c r="F225">
        <v>7</v>
      </c>
      <c r="G225" t="s">
        <v>1369</v>
      </c>
      <c r="Q225" s="1"/>
      <c r="R225" s="1"/>
    </row>
    <row r="226" spans="1:18">
      <c r="A226">
        <v>10</v>
      </c>
      <c r="B226" t="s">
        <v>1380</v>
      </c>
      <c r="C226">
        <v>2</v>
      </c>
      <c r="D226">
        <v>4</v>
      </c>
      <c r="E226">
        <v>1</v>
      </c>
      <c r="F226">
        <v>7</v>
      </c>
      <c r="G226" t="s">
        <v>1372</v>
      </c>
      <c r="Q226" s="1"/>
      <c r="R226" s="1"/>
    </row>
    <row r="227" spans="1:18">
      <c r="A227">
        <v>11</v>
      </c>
      <c r="B227" t="s">
        <v>1381</v>
      </c>
      <c r="C227">
        <v>2</v>
      </c>
      <c r="D227">
        <v>4</v>
      </c>
      <c r="E227">
        <v>1</v>
      </c>
      <c r="F227">
        <v>7</v>
      </c>
      <c r="G227" t="s">
        <v>1372</v>
      </c>
      <c r="Q227" s="1"/>
      <c r="R227" s="1"/>
    </row>
    <row r="228" spans="1:18">
      <c r="A228">
        <v>12</v>
      </c>
      <c r="B228" t="s">
        <v>1382</v>
      </c>
      <c r="C228">
        <v>4</v>
      </c>
      <c r="D228">
        <v>2</v>
      </c>
      <c r="E228">
        <v>1</v>
      </c>
      <c r="F228">
        <v>7</v>
      </c>
      <c r="G228" t="s">
        <v>1369</v>
      </c>
      <c r="Q228" s="1"/>
      <c r="R228" s="1"/>
    </row>
    <row r="229" spans="1:18">
      <c r="A229">
        <v>13</v>
      </c>
      <c r="B229" t="s">
        <v>1383</v>
      </c>
      <c r="C229">
        <v>4</v>
      </c>
      <c r="D229">
        <v>2</v>
      </c>
      <c r="E229">
        <v>1</v>
      </c>
      <c r="F229">
        <v>7</v>
      </c>
      <c r="G229" t="s">
        <v>1369</v>
      </c>
      <c r="Q229" s="1"/>
      <c r="R229" s="1"/>
    </row>
    <row r="230" spans="1:18">
      <c r="A230">
        <v>14</v>
      </c>
      <c r="B230" t="s">
        <v>1384</v>
      </c>
      <c r="C230">
        <v>2</v>
      </c>
      <c r="D230">
        <v>1</v>
      </c>
      <c r="E230">
        <v>4</v>
      </c>
      <c r="F230">
        <v>7</v>
      </c>
      <c r="G230" t="s">
        <v>1385</v>
      </c>
      <c r="Q230" s="1"/>
      <c r="R230" s="1"/>
    </row>
    <row r="231" spans="1:18">
      <c r="A231">
        <v>15</v>
      </c>
      <c r="B231" t="s">
        <v>1386</v>
      </c>
      <c r="C231">
        <v>2</v>
      </c>
      <c r="D231">
        <v>4</v>
      </c>
      <c r="E231">
        <v>1</v>
      </c>
      <c r="F231">
        <v>7</v>
      </c>
      <c r="G231" t="s">
        <v>1372</v>
      </c>
      <c r="Q231" s="1"/>
      <c r="R231" s="1"/>
    </row>
    <row r="232" spans="1:18">
      <c r="A232">
        <v>16</v>
      </c>
      <c r="B232" t="s">
        <v>1387</v>
      </c>
      <c r="C232">
        <v>2</v>
      </c>
      <c r="D232">
        <v>1</v>
      </c>
      <c r="E232">
        <v>4</v>
      </c>
      <c r="F232">
        <v>7</v>
      </c>
      <c r="G232" t="s">
        <v>1385</v>
      </c>
      <c r="Q232" s="1"/>
      <c r="R232" s="1"/>
    </row>
    <row r="233" spans="1:18">
      <c r="A233">
        <v>17</v>
      </c>
      <c r="B233" t="s">
        <v>1388</v>
      </c>
      <c r="C233">
        <v>4</v>
      </c>
      <c r="D233">
        <v>2</v>
      </c>
      <c r="E233">
        <v>1</v>
      </c>
      <c r="F233">
        <v>7</v>
      </c>
      <c r="G233" t="s">
        <v>1369</v>
      </c>
      <c r="Q233" s="1"/>
      <c r="R233" s="1"/>
    </row>
    <row r="234" spans="1:18">
      <c r="A234">
        <v>18</v>
      </c>
      <c r="B234" t="s">
        <v>1389</v>
      </c>
      <c r="C234">
        <v>4</v>
      </c>
      <c r="D234">
        <v>2</v>
      </c>
      <c r="E234">
        <v>1</v>
      </c>
      <c r="F234">
        <v>7</v>
      </c>
      <c r="G234" t="s">
        <v>1369</v>
      </c>
      <c r="Q234" s="1"/>
      <c r="R234" s="1"/>
    </row>
    <row r="235" spans="1:18">
      <c r="A235">
        <v>19</v>
      </c>
      <c r="B235" t="s">
        <v>1390</v>
      </c>
      <c r="C235">
        <v>2</v>
      </c>
      <c r="D235">
        <v>1</v>
      </c>
      <c r="E235">
        <v>4</v>
      </c>
      <c r="F235">
        <v>7</v>
      </c>
      <c r="G235" t="s">
        <v>1385</v>
      </c>
      <c r="Q235" s="1"/>
      <c r="R235" s="1"/>
    </row>
    <row r="236" spans="1:18">
      <c r="A236">
        <v>20</v>
      </c>
      <c r="B236" t="s">
        <v>1391</v>
      </c>
      <c r="C236">
        <v>2</v>
      </c>
      <c r="D236">
        <v>4</v>
      </c>
      <c r="E236">
        <v>1</v>
      </c>
      <c r="F236">
        <v>7</v>
      </c>
      <c r="G236" t="s">
        <v>1372</v>
      </c>
      <c r="Q236" s="1"/>
      <c r="R236" s="1"/>
    </row>
    <row r="237" spans="1:18">
      <c r="A237">
        <v>21</v>
      </c>
      <c r="B237" t="s">
        <v>1392</v>
      </c>
      <c r="C237">
        <v>4</v>
      </c>
      <c r="D237">
        <v>2</v>
      </c>
      <c r="E237">
        <v>1</v>
      </c>
      <c r="F237">
        <v>7</v>
      </c>
      <c r="G237" t="s">
        <v>1369</v>
      </c>
      <c r="Q237" s="1"/>
      <c r="R237" s="1"/>
    </row>
    <row r="238" spans="1:18">
      <c r="A238">
        <v>22</v>
      </c>
      <c r="B238" t="s">
        <v>1393</v>
      </c>
      <c r="C238">
        <v>2</v>
      </c>
      <c r="D238">
        <v>4</v>
      </c>
      <c r="E238">
        <v>1</v>
      </c>
      <c r="F238">
        <v>7</v>
      </c>
      <c r="G238" t="s">
        <v>1372</v>
      </c>
      <c r="Q238" s="1"/>
      <c r="R238" s="1"/>
    </row>
    <row r="239" spans="1:18">
      <c r="A239">
        <v>23</v>
      </c>
      <c r="B239" t="s">
        <v>1394</v>
      </c>
      <c r="C239">
        <v>2</v>
      </c>
      <c r="D239">
        <v>4</v>
      </c>
      <c r="E239">
        <v>1</v>
      </c>
      <c r="F239">
        <v>7</v>
      </c>
      <c r="G239" t="s">
        <v>1372</v>
      </c>
      <c r="Q239" s="1"/>
      <c r="R239" s="1"/>
    </row>
    <row r="240" spans="1:18">
      <c r="A240">
        <v>24</v>
      </c>
      <c r="B240" t="s">
        <v>1395</v>
      </c>
      <c r="C240">
        <v>2</v>
      </c>
      <c r="D240">
        <v>1</v>
      </c>
      <c r="E240">
        <v>4</v>
      </c>
      <c r="F240">
        <v>7</v>
      </c>
      <c r="G240" t="s">
        <v>1385</v>
      </c>
      <c r="Q240" s="1"/>
      <c r="R240" s="1"/>
    </row>
    <row r="241" spans="1:18">
      <c r="A241">
        <v>25</v>
      </c>
      <c r="B241" t="s">
        <v>1396</v>
      </c>
      <c r="C241">
        <v>4</v>
      </c>
      <c r="D241">
        <v>2</v>
      </c>
      <c r="E241">
        <v>1</v>
      </c>
      <c r="F241">
        <v>7</v>
      </c>
      <c r="G241" t="s">
        <v>1369</v>
      </c>
      <c r="Q241" s="1"/>
      <c r="R241" s="1"/>
    </row>
    <row r="242" spans="1:18">
      <c r="A242">
        <v>26</v>
      </c>
      <c r="B242" t="s">
        <v>1397</v>
      </c>
      <c r="C242">
        <v>4</v>
      </c>
      <c r="D242">
        <v>2</v>
      </c>
      <c r="E242">
        <v>1</v>
      </c>
      <c r="F242">
        <v>7</v>
      </c>
      <c r="G242" t="s">
        <v>1369</v>
      </c>
      <c r="Q242" s="1"/>
      <c r="R242" s="1"/>
    </row>
    <row r="243" spans="1:18">
      <c r="A243">
        <v>27</v>
      </c>
      <c r="B243" t="s">
        <v>1398</v>
      </c>
      <c r="C243">
        <v>2</v>
      </c>
      <c r="D243">
        <v>1</v>
      </c>
      <c r="E243">
        <v>4</v>
      </c>
      <c r="F243">
        <v>7</v>
      </c>
      <c r="G243" t="s">
        <v>1385</v>
      </c>
      <c r="Q243" s="1"/>
      <c r="R243" s="1"/>
    </row>
    <row r="244" spans="1:18">
      <c r="A244">
        <v>28</v>
      </c>
      <c r="B244" t="s">
        <v>1399</v>
      </c>
      <c r="C244">
        <v>2</v>
      </c>
      <c r="D244">
        <v>4</v>
      </c>
      <c r="E244">
        <v>1</v>
      </c>
      <c r="F244">
        <v>7</v>
      </c>
      <c r="G244" t="s">
        <v>1372</v>
      </c>
      <c r="Q244" s="1"/>
      <c r="R244" s="1"/>
    </row>
    <row r="245" spans="1:18">
      <c r="A245">
        <v>29</v>
      </c>
      <c r="B245" t="s">
        <v>1400</v>
      </c>
      <c r="C245">
        <v>4</v>
      </c>
      <c r="D245">
        <v>2</v>
      </c>
      <c r="E245">
        <v>1</v>
      </c>
      <c r="F245">
        <v>7</v>
      </c>
      <c r="G245" t="s">
        <v>1369</v>
      </c>
      <c r="Q245" s="1"/>
      <c r="R245" s="1"/>
    </row>
    <row r="246" spans="1:18">
      <c r="A246">
        <v>30</v>
      </c>
      <c r="B246" t="s">
        <v>1401</v>
      </c>
      <c r="C246">
        <v>2</v>
      </c>
      <c r="D246">
        <v>4</v>
      </c>
      <c r="E246">
        <v>1</v>
      </c>
      <c r="F246">
        <v>7</v>
      </c>
      <c r="G246" t="s">
        <v>1372</v>
      </c>
      <c r="Q246" s="1"/>
      <c r="R246" s="1"/>
    </row>
    <row r="247" spans="1:18">
      <c r="A247">
        <v>31</v>
      </c>
      <c r="B247" t="s">
        <v>1402</v>
      </c>
      <c r="C247">
        <v>4</v>
      </c>
      <c r="D247">
        <v>2</v>
      </c>
      <c r="E247">
        <v>1</v>
      </c>
      <c r="F247">
        <v>7</v>
      </c>
      <c r="G247" t="s">
        <v>1369</v>
      </c>
      <c r="Q247" s="1"/>
      <c r="R247" s="1"/>
    </row>
    <row r="248" spans="1:18">
      <c r="A248">
        <v>32</v>
      </c>
      <c r="B248" t="s">
        <v>1403</v>
      </c>
      <c r="C248">
        <v>2</v>
      </c>
      <c r="D248">
        <v>4</v>
      </c>
      <c r="E248">
        <v>1</v>
      </c>
      <c r="F248">
        <v>7</v>
      </c>
      <c r="G248" t="s">
        <v>1372</v>
      </c>
      <c r="Q248" s="1"/>
      <c r="R248" s="1"/>
    </row>
    <row r="249" spans="1:18">
      <c r="A249">
        <v>33</v>
      </c>
      <c r="B249" t="s">
        <v>1404</v>
      </c>
      <c r="C249">
        <v>4</v>
      </c>
      <c r="D249">
        <v>2</v>
      </c>
      <c r="E249">
        <v>1</v>
      </c>
      <c r="F249">
        <v>7</v>
      </c>
      <c r="G249" t="s">
        <v>1369</v>
      </c>
      <c r="Q249" s="1"/>
      <c r="R249" s="1"/>
    </row>
    <row r="250" spans="1:18">
      <c r="A250">
        <v>34</v>
      </c>
      <c r="B250" t="s">
        <v>1405</v>
      </c>
      <c r="C250">
        <v>2</v>
      </c>
      <c r="D250">
        <v>4</v>
      </c>
      <c r="E250">
        <v>1</v>
      </c>
      <c r="F250">
        <v>7</v>
      </c>
      <c r="G250" t="s">
        <v>1372</v>
      </c>
      <c r="Q250" s="1"/>
      <c r="R250" s="1"/>
    </row>
    <row r="251" spans="1:18">
      <c r="A251">
        <v>35</v>
      </c>
      <c r="B251" t="s">
        <v>1406</v>
      </c>
      <c r="C251">
        <v>2</v>
      </c>
      <c r="D251">
        <v>1</v>
      </c>
      <c r="E251">
        <v>4</v>
      </c>
      <c r="F251">
        <v>7</v>
      </c>
      <c r="G251" t="s">
        <v>1385</v>
      </c>
      <c r="Q251" s="1"/>
      <c r="R251" s="1"/>
    </row>
    <row r="252" spans="1:18">
      <c r="A252">
        <v>36</v>
      </c>
      <c r="B252" t="s">
        <v>1407</v>
      </c>
      <c r="C252">
        <v>2</v>
      </c>
      <c r="D252">
        <v>4</v>
      </c>
      <c r="E252">
        <v>1</v>
      </c>
      <c r="F252">
        <v>7</v>
      </c>
      <c r="G252" t="s">
        <v>1372</v>
      </c>
      <c r="Q252" s="1"/>
      <c r="R252" s="1"/>
    </row>
    <row r="253" spans="1:18">
      <c r="A253">
        <v>37</v>
      </c>
      <c r="B253" t="s">
        <v>1408</v>
      </c>
      <c r="C253">
        <v>2</v>
      </c>
      <c r="D253">
        <v>4</v>
      </c>
      <c r="E253">
        <v>1</v>
      </c>
      <c r="F253">
        <v>7</v>
      </c>
      <c r="G253" t="s">
        <v>1372</v>
      </c>
      <c r="Q253" s="1"/>
      <c r="R253" s="1"/>
    </row>
    <row r="254" spans="1:18">
      <c r="A254">
        <v>38</v>
      </c>
      <c r="B254" t="s">
        <v>1409</v>
      </c>
      <c r="C254">
        <v>4</v>
      </c>
      <c r="D254">
        <v>2</v>
      </c>
      <c r="E254">
        <v>1</v>
      </c>
      <c r="F254">
        <v>7</v>
      </c>
      <c r="G254" t="s">
        <v>1369</v>
      </c>
      <c r="Q254" s="1"/>
      <c r="R254" s="1"/>
    </row>
    <row r="255" spans="1:18">
      <c r="A255">
        <v>39</v>
      </c>
      <c r="B255" t="s">
        <v>1410</v>
      </c>
      <c r="C255">
        <v>2</v>
      </c>
      <c r="D255">
        <v>1</v>
      </c>
      <c r="E255">
        <v>4</v>
      </c>
      <c r="F255">
        <v>7</v>
      </c>
      <c r="G255" t="s">
        <v>1385</v>
      </c>
      <c r="Q255" s="1"/>
      <c r="R255" s="1"/>
    </row>
    <row r="256" spans="1:18">
      <c r="A256">
        <v>40</v>
      </c>
      <c r="B256" t="s">
        <v>1411</v>
      </c>
      <c r="C256">
        <v>4</v>
      </c>
      <c r="D256">
        <v>2</v>
      </c>
      <c r="E256">
        <v>1</v>
      </c>
      <c r="F256">
        <v>7</v>
      </c>
      <c r="G256" t="s">
        <v>1369</v>
      </c>
      <c r="Q256" s="1"/>
      <c r="R256" s="1"/>
    </row>
    <row r="257" spans="1:18">
      <c r="Q257" s="1"/>
      <c r="R257" s="1"/>
    </row>
    <row r="258" spans="1:18">
      <c r="Q258" s="1"/>
      <c r="R258" s="1"/>
    </row>
    <row r="259" spans="1:18">
      <c r="Q259" s="1"/>
      <c r="R259" s="1"/>
    </row>
    <row r="260" spans="1:18">
      <c r="Q260" s="1"/>
      <c r="R260" s="1"/>
    </row>
    <row r="261" spans="1:18">
      <c r="Q261" s="1"/>
      <c r="R261" s="1"/>
    </row>
    <row r="262" spans="1:18">
      <c r="Q262" s="1"/>
      <c r="R262" s="1"/>
    </row>
    <row r="263" spans="1:18">
      <c r="Q263" s="1"/>
      <c r="R263" s="1"/>
    </row>
    <row r="264" spans="1:18">
      <c r="Q264" s="1"/>
      <c r="R264" s="1"/>
    </row>
    <row r="265" spans="1:18">
      <c r="Q265" s="1"/>
      <c r="R265" s="1"/>
    </row>
    <row r="266" spans="1:18">
      <c r="Q266" s="1"/>
      <c r="R266" s="1"/>
    </row>
    <row r="267" spans="1:18">
      <c r="A267" t="s">
        <v>1412</v>
      </c>
      <c r="Q267" s="1"/>
      <c r="R267" s="1"/>
    </row>
    <row r="268" spans="1:18">
      <c r="Q268" s="1"/>
      <c r="R268" s="1"/>
    </row>
    <row r="269" spans="1:18">
      <c r="A269" t="s">
        <v>1197</v>
      </c>
      <c r="Q269" s="1"/>
      <c r="R269" s="1"/>
    </row>
    <row r="270" spans="1:18">
      <c r="Q270" s="1"/>
      <c r="R270" s="1"/>
    </row>
    <row r="271" spans="1:18">
      <c r="A271" t="s">
        <v>1413</v>
      </c>
      <c r="Q271" s="1"/>
      <c r="R271" s="1"/>
    </row>
    <row r="272" spans="1:18">
      <c r="Q272" s="1"/>
      <c r="R272" s="1"/>
    </row>
    <row r="273" spans="1:18">
      <c r="A273" t="s">
        <v>1414</v>
      </c>
      <c r="Q273" s="1"/>
      <c r="R273" s="1"/>
    </row>
    <row r="274" spans="1:18">
      <c r="Q274" s="1"/>
      <c r="R274" s="1"/>
    </row>
    <row r="275" spans="1:18">
      <c r="A275" t="s">
        <v>1197</v>
      </c>
      <c r="Q275" s="1"/>
      <c r="R275" s="1"/>
    </row>
    <row r="276" spans="1:18">
      <c r="Q276" s="1"/>
      <c r="R276" s="1"/>
    </row>
    <row r="277" spans="1:18">
      <c r="A277" t="s">
        <v>1415</v>
      </c>
      <c r="Q277" s="1"/>
      <c r="R277" s="1"/>
    </row>
    <row r="278" spans="1:18">
      <c r="Q278" s="1"/>
      <c r="R278" s="1"/>
    </row>
    <row r="279" spans="1:18">
      <c r="A279" t="s">
        <v>1416</v>
      </c>
      <c r="Q279" s="1"/>
      <c r="R279" s="1"/>
    </row>
    <row r="280" spans="1:18">
      <c r="Q280" s="1"/>
      <c r="R280" s="1"/>
    </row>
    <row r="281" spans="1:18">
      <c r="A281" t="s">
        <v>1417</v>
      </c>
      <c r="Q281" s="1"/>
      <c r="R281" s="1"/>
    </row>
    <row r="282" spans="1:18">
      <c r="A282" t="s">
        <v>1418</v>
      </c>
      <c r="Q282" s="1"/>
      <c r="R282" s="1"/>
    </row>
    <row r="283" spans="1:18">
      <c r="A283" t="s">
        <v>1419</v>
      </c>
      <c r="Q283" s="1"/>
      <c r="R283" s="1"/>
    </row>
    <row r="284" spans="1:18">
      <c r="A284" t="s">
        <v>1420</v>
      </c>
      <c r="Q284" s="1"/>
      <c r="R284" s="1"/>
    </row>
    <row r="285" spans="1:18">
      <c r="A285" t="s">
        <v>1421</v>
      </c>
      <c r="Q285" s="1"/>
      <c r="R285" s="1"/>
    </row>
    <row r="286" spans="1:18">
      <c r="A286" t="s">
        <v>1422</v>
      </c>
      <c r="Q286" s="1"/>
      <c r="R286" s="1"/>
    </row>
    <row r="287" spans="1:18">
      <c r="A287" t="s">
        <v>1423</v>
      </c>
      <c r="Q287" s="1"/>
      <c r="R287" s="1"/>
    </row>
    <row r="288" spans="1:18">
      <c r="A288" t="s">
        <v>1424</v>
      </c>
      <c r="Q288" s="1"/>
      <c r="R288" s="1"/>
    </row>
    <row r="289" spans="1:18">
      <c r="A289" t="s">
        <v>1425</v>
      </c>
      <c r="Q289" s="1"/>
      <c r="R289" s="1"/>
    </row>
    <row r="290" spans="1:18">
      <c r="A290" t="s">
        <v>1426</v>
      </c>
      <c r="Q290" s="1"/>
      <c r="R290" s="1"/>
    </row>
    <row r="291" spans="1:18">
      <c r="Q291" s="1"/>
      <c r="R291" s="1"/>
    </row>
    <row r="292" spans="1:18">
      <c r="A292" t="s">
        <v>1427</v>
      </c>
      <c r="Q292" s="1"/>
      <c r="R292" s="1"/>
    </row>
    <row r="293" spans="1:18">
      <c r="Q293" s="1"/>
      <c r="R293" s="1"/>
    </row>
    <row r="294" spans="1:18">
      <c r="A294" t="s">
        <v>1417</v>
      </c>
      <c r="Q294" s="1"/>
      <c r="R294" s="1"/>
    </row>
    <row r="295" spans="1:18">
      <c r="A295" t="s">
        <v>1418</v>
      </c>
      <c r="Q295" s="1"/>
      <c r="R295" s="1"/>
    </row>
    <row r="296" spans="1:18">
      <c r="A296" t="s">
        <v>1428</v>
      </c>
      <c r="Q296" s="1"/>
      <c r="R296" s="1"/>
    </row>
    <row r="297" spans="1:18">
      <c r="A297" t="s">
        <v>1429</v>
      </c>
      <c r="Q297" s="1"/>
      <c r="R297" s="1"/>
    </row>
    <row r="298" spans="1:18">
      <c r="A298" t="s">
        <v>1430</v>
      </c>
      <c r="Q298" s="1"/>
      <c r="R298" s="1"/>
    </row>
    <row r="299" spans="1:18">
      <c r="A299" t="s">
        <v>1431</v>
      </c>
      <c r="Q299" s="1"/>
      <c r="R299" s="1"/>
    </row>
    <row r="300" spans="1:18">
      <c r="A300" t="s">
        <v>1432</v>
      </c>
      <c r="Q300" s="1"/>
      <c r="R300" s="1"/>
    </row>
    <row r="301" spans="1:18">
      <c r="Q301" s="1"/>
      <c r="R301" s="1"/>
    </row>
    <row r="302" spans="1:18">
      <c r="A302" t="s">
        <v>1197</v>
      </c>
      <c r="Q302" s="1"/>
      <c r="R302" s="1"/>
    </row>
    <row r="303" spans="1:18">
      <c r="Q303" s="1"/>
      <c r="R303" s="1"/>
    </row>
    <row r="304" spans="1:18">
      <c r="A304" t="s">
        <v>1433</v>
      </c>
      <c r="Q304" s="1"/>
      <c r="R304" s="1"/>
    </row>
    <row r="305" spans="1:18">
      <c r="Q305" s="1"/>
      <c r="R305" s="1"/>
    </row>
    <row r="306" spans="1:18">
      <c r="A306" t="s">
        <v>1416</v>
      </c>
      <c r="Q306" s="1"/>
      <c r="R306" s="1"/>
    </row>
    <row r="307" spans="1:18">
      <c r="Q307" s="1"/>
      <c r="R307" s="1"/>
    </row>
    <row r="308" spans="1:18">
      <c r="A308" t="s">
        <v>1417</v>
      </c>
      <c r="Q308" s="1"/>
      <c r="R308" s="1"/>
    </row>
    <row r="309" spans="1:18">
      <c r="A309" t="s">
        <v>1418</v>
      </c>
      <c r="Q309" s="1"/>
      <c r="R309" s="1"/>
    </row>
    <row r="310" spans="1:18">
      <c r="A310" t="s">
        <v>1434</v>
      </c>
      <c r="Q310" s="1"/>
      <c r="R310" s="1"/>
    </row>
    <row r="311" spans="1:18">
      <c r="A311" t="s">
        <v>1435</v>
      </c>
      <c r="Q311" s="1"/>
      <c r="R311" s="1"/>
    </row>
    <row r="312" spans="1:18">
      <c r="A312" t="s">
        <v>1436</v>
      </c>
      <c r="Q312" s="1"/>
      <c r="R312" s="1"/>
    </row>
    <row r="313" spans="1:18">
      <c r="A313" t="s">
        <v>1437</v>
      </c>
      <c r="Q313" s="1"/>
      <c r="R313" s="1"/>
    </row>
    <row r="314" spans="1:18">
      <c r="A314" t="s">
        <v>1438</v>
      </c>
      <c r="Q314" s="1"/>
      <c r="R314" s="1"/>
    </row>
    <row r="315" spans="1:18">
      <c r="A315" t="s">
        <v>1439</v>
      </c>
      <c r="Q315" s="1"/>
      <c r="R315" s="1"/>
    </row>
    <row r="316" spans="1:18">
      <c r="A316" t="s">
        <v>1440</v>
      </c>
      <c r="Q316" s="1"/>
      <c r="R316" s="1"/>
    </row>
    <row r="317" spans="1:18">
      <c r="A317" t="s">
        <v>1441</v>
      </c>
      <c r="Q317" s="1"/>
      <c r="R317" s="1"/>
    </row>
    <row r="318" spans="1:18">
      <c r="Q318" s="1"/>
      <c r="R318" s="1"/>
    </row>
    <row r="319" spans="1:18">
      <c r="A319" t="s">
        <v>1427</v>
      </c>
      <c r="Q319" s="1"/>
      <c r="R319" s="1"/>
    </row>
    <row r="320" spans="1:18">
      <c r="Q320" s="1"/>
      <c r="R320" s="1"/>
    </row>
    <row r="321" spans="1:18">
      <c r="A321" t="s">
        <v>1417</v>
      </c>
      <c r="Q321" s="1"/>
      <c r="R321" s="1"/>
    </row>
    <row r="322" spans="1:18">
      <c r="A322" t="s">
        <v>1418</v>
      </c>
      <c r="Q322" s="1"/>
      <c r="R322" s="1"/>
    </row>
    <row r="323" spans="1:18">
      <c r="A323" t="s">
        <v>1442</v>
      </c>
      <c r="Q323" s="1"/>
      <c r="R323" s="1"/>
    </row>
    <row r="324" spans="1:18">
      <c r="A324" t="s">
        <v>1443</v>
      </c>
      <c r="Q324" s="1"/>
      <c r="R324" s="1"/>
    </row>
    <row r="325" spans="1:18">
      <c r="A325" t="s">
        <v>1444</v>
      </c>
      <c r="Q325" s="1"/>
      <c r="R325" s="1"/>
    </row>
    <row r="326" spans="1:18">
      <c r="A326" t="s">
        <v>1445</v>
      </c>
      <c r="Q326" s="1"/>
      <c r="R326" s="1"/>
    </row>
    <row r="327" spans="1:18">
      <c r="A327" t="s">
        <v>1446</v>
      </c>
      <c r="Q327" s="1"/>
      <c r="R327" s="1"/>
    </row>
    <row r="328" spans="1:18">
      <c r="Q328" s="1"/>
      <c r="R328" s="1"/>
    </row>
    <row r="329" spans="1:18">
      <c r="A329" t="s">
        <v>1197</v>
      </c>
      <c r="Q329" s="1"/>
      <c r="R329" s="1"/>
    </row>
    <row r="330" spans="1:18">
      <c r="Q330" s="1"/>
      <c r="R330" s="1"/>
    </row>
    <row r="331" spans="1:18">
      <c r="A331" t="s">
        <v>1447</v>
      </c>
      <c r="Q331" s="1"/>
      <c r="R331" s="1"/>
    </row>
    <row r="332" spans="1:18">
      <c r="Q332" s="1"/>
      <c r="R332" s="1"/>
    </row>
    <row r="333" spans="1:18">
      <c r="A333" t="s">
        <v>1416</v>
      </c>
      <c r="Q333" s="1"/>
      <c r="R333" s="1"/>
    </row>
    <row r="334" spans="1:18">
      <c r="Q334" s="1"/>
      <c r="R334" s="1"/>
    </row>
    <row r="335" spans="1:18">
      <c r="A335" t="s">
        <v>1417</v>
      </c>
      <c r="Q335" s="1"/>
      <c r="R335" s="1"/>
    </row>
    <row r="336" spans="1:18">
      <c r="A336" t="s">
        <v>1418</v>
      </c>
      <c r="Q336" s="1"/>
      <c r="R336" s="1"/>
    </row>
    <row r="337" spans="1:18">
      <c r="A337" t="s">
        <v>1448</v>
      </c>
      <c r="Q337" s="1"/>
      <c r="R337" s="1"/>
    </row>
    <row r="338" spans="1:18">
      <c r="A338" t="s">
        <v>1449</v>
      </c>
      <c r="Q338" s="1"/>
      <c r="R338" s="1"/>
    </row>
    <row r="339" spans="1:18">
      <c r="A339" t="s">
        <v>1450</v>
      </c>
      <c r="Q339" s="1"/>
      <c r="R339" s="1"/>
    </row>
    <row r="340" spans="1:18">
      <c r="A340" t="s">
        <v>1451</v>
      </c>
      <c r="Q340" s="1"/>
      <c r="R340" s="1"/>
    </row>
    <row r="341" spans="1:18">
      <c r="A341" t="s">
        <v>1452</v>
      </c>
      <c r="Q341" s="1"/>
      <c r="R341" s="1"/>
    </row>
    <row r="342" spans="1:18">
      <c r="A342" t="s">
        <v>1453</v>
      </c>
      <c r="Q342" s="1"/>
      <c r="R342" s="1"/>
    </row>
    <row r="343" spans="1:18">
      <c r="A343" t="s">
        <v>1454</v>
      </c>
      <c r="Q343" s="1"/>
      <c r="R343" s="1"/>
    </row>
    <row r="344" spans="1:18">
      <c r="A344" t="s">
        <v>1455</v>
      </c>
      <c r="Q344" s="1"/>
      <c r="R344" s="1"/>
    </row>
    <row r="345" spans="1:18">
      <c r="Q345" s="1"/>
      <c r="R345" s="1"/>
    </row>
    <row r="346" spans="1:18">
      <c r="A346" t="s">
        <v>1427</v>
      </c>
      <c r="Q346" s="1"/>
      <c r="R346" s="1"/>
    </row>
    <row r="347" spans="1:18">
      <c r="Q347" s="1"/>
      <c r="R347" s="1"/>
    </row>
    <row r="348" spans="1:18">
      <c r="A348" t="s">
        <v>1417</v>
      </c>
      <c r="Q348" s="1"/>
      <c r="R348" s="1"/>
    </row>
    <row r="349" spans="1:18">
      <c r="A349" t="s">
        <v>1418</v>
      </c>
      <c r="Q349" s="1"/>
      <c r="R349" s="1"/>
    </row>
    <row r="350" spans="1:18">
      <c r="A350" t="s">
        <v>1456</v>
      </c>
      <c r="Q350" s="1"/>
      <c r="R350" s="1"/>
    </row>
    <row r="351" spans="1:18">
      <c r="A351" t="s">
        <v>1457</v>
      </c>
      <c r="Q351" s="1"/>
      <c r="R351" s="1"/>
    </row>
    <row r="352" spans="1:18">
      <c r="A352" t="s">
        <v>1458</v>
      </c>
      <c r="Q352" s="1"/>
      <c r="R352" s="1"/>
    </row>
    <row r="353" spans="1:18">
      <c r="A353" t="s">
        <v>1459</v>
      </c>
      <c r="Q353" s="1"/>
      <c r="R353" s="1"/>
    </row>
    <row r="354" spans="1:18">
      <c r="A354" t="s">
        <v>1460</v>
      </c>
      <c r="Q354" s="1"/>
      <c r="R354" s="1"/>
    </row>
    <row r="355" spans="1:18">
      <c r="Q355" s="1"/>
      <c r="R355" s="1"/>
    </row>
    <row r="356" spans="1:18">
      <c r="A356" t="s">
        <v>1197</v>
      </c>
      <c r="Q356" s="1"/>
      <c r="R356" s="1"/>
    </row>
    <row r="357" spans="1:18">
      <c r="Q357" s="1"/>
      <c r="R357" s="1"/>
    </row>
    <row r="358" spans="1:18">
      <c r="A358" t="s">
        <v>1461</v>
      </c>
      <c r="Q358" s="1"/>
      <c r="R358" s="1"/>
    </row>
    <row r="359" spans="1:18">
      <c r="Q359" s="1"/>
      <c r="R359" s="1"/>
    </row>
    <row r="360" spans="1:18">
      <c r="A360" t="s">
        <v>1416</v>
      </c>
      <c r="Q360" s="1"/>
      <c r="R360" s="1"/>
    </row>
    <row r="361" spans="1:18">
      <c r="Q361" s="1"/>
      <c r="R361" s="1"/>
    </row>
    <row r="362" spans="1:18">
      <c r="A362" t="s">
        <v>1417</v>
      </c>
      <c r="Q362" s="1"/>
      <c r="R362" s="1"/>
    </row>
    <row r="363" spans="1:18">
      <c r="A363" t="s">
        <v>1418</v>
      </c>
      <c r="Q363" s="1"/>
      <c r="R363" s="1"/>
    </row>
    <row r="364" spans="1:18">
      <c r="A364" t="s">
        <v>1462</v>
      </c>
      <c r="Q364" s="1"/>
      <c r="R364" s="1"/>
    </row>
    <row r="365" spans="1:18">
      <c r="A365" t="s">
        <v>1463</v>
      </c>
      <c r="Q365" s="1"/>
      <c r="R365" s="1"/>
    </row>
    <row r="366" spans="1:18">
      <c r="A366" t="s">
        <v>1464</v>
      </c>
      <c r="Q366" s="1"/>
      <c r="R366" s="1"/>
    </row>
    <row r="367" spans="1:18">
      <c r="A367" t="s">
        <v>1465</v>
      </c>
      <c r="Q367" s="1"/>
      <c r="R367" s="1"/>
    </row>
    <row r="368" spans="1:18">
      <c r="A368" t="s">
        <v>1466</v>
      </c>
      <c r="Q368" s="1"/>
      <c r="R368" s="1"/>
    </row>
    <row r="369" spans="1:18">
      <c r="A369" t="s">
        <v>1467</v>
      </c>
      <c r="Q369" s="1"/>
      <c r="R369" s="1"/>
    </row>
    <row r="370" spans="1:18">
      <c r="A370" t="s">
        <v>1468</v>
      </c>
      <c r="Q370" s="1"/>
      <c r="R370" s="1"/>
    </row>
    <row r="371" spans="1:18">
      <c r="A371" t="s">
        <v>1469</v>
      </c>
      <c r="Q371" s="1"/>
      <c r="R371" s="1"/>
    </row>
    <row r="372" spans="1:18">
      <c r="Q372" s="1"/>
      <c r="R372" s="1"/>
    </row>
    <row r="373" spans="1:18">
      <c r="A373" t="s">
        <v>1427</v>
      </c>
      <c r="Q373" s="1"/>
      <c r="R373" s="1"/>
    </row>
    <row r="374" spans="1:18">
      <c r="Q374" s="1"/>
      <c r="R374" s="1"/>
    </row>
    <row r="375" spans="1:18">
      <c r="A375" t="s">
        <v>1417</v>
      </c>
      <c r="Q375" s="1"/>
      <c r="R375" s="1"/>
    </row>
    <row r="376" spans="1:18">
      <c r="A376" t="s">
        <v>1418</v>
      </c>
      <c r="Q376" s="1"/>
      <c r="R376" s="1"/>
    </row>
    <row r="377" spans="1:18">
      <c r="A377" t="s">
        <v>1470</v>
      </c>
      <c r="Q377" s="1"/>
      <c r="R377" s="1"/>
    </row>
    <row r="378" spans="1:18">
      <c r="A378" t="s">
        <v>1471</v>
      </c>
      <c r="Q378" s="1"/>
      <c r="R378" s="1"/>
    </row>
    <row r="379" spans="1:18">
      <c r="A379" t="s">
        <v>1472</v>
      </c>
      <c r="Q379" s="1"/>
      <c r="R379" s="1"/>
    </row>
    <row r="380" spans="1:18">
      <c r="A380" t="s">
        <v>1473</v>
      </c>
      <c r="Q380" s="1"/>
      <c r="R380" s="1"/>
    </row>
    <row r="381" spans="1:18">
      <c r="A381" t="s">
        <v>1474</v>
      </c>
      <c r="Q381" s="1"/>
      <c r="R381" s="1"/>
    </row>
    <row r="382" spans="1:18">
      <c r="Q382" s="1"/>
      <c r="R382" s="1"/>
    </row>
    <row r="383" spans="1:18">
      <c r="A383" t="s">
        <v>1197</v>
      </c>
      <c r="Q383" s="1"/>
      <c r="R383" s="1"/>
    </row>
    <row r="384" spans="1:18">
      <c r="Q384" s="1"/>
      <c r="R384" s="1"/>
    </row>
    <row r="385" spans="1:18">
      <c r="A385" t="s">
        <v>1475</v>
      </c>
      <c r="Q385" s="1"/>
      <c r="R385" s="1"/>
    </row>
    <row r="386" spans="1:18">
      <c r="Q386" s="1"/>
      <c r="R386" s="1"/>
    </row>
    <row r="387" spans="1:18">
      <c r="A387" t="s">
        <v>1417</v>
      </c>
      <c r="Q387" s="1"/>
      <c r="R387" s="1"/>
    </row>
    <row r="388" spans="1:18">
      <c r="A388" t="s">
        <v>1418</v>
      </c>
      <c r="Q388" s="1"/>
      <c r="R388" s="1"/>
    </row>
    <row r="389" spans="1:18">
      <c r="A389" t="s">
        <v>1476</v>
      </c>
      <c r="Q389" s="1"/>
      <c r="R389" s="1"/>
    </row>
    <row r="390" spans="1:18">
      <c r="A390" t="s">
        <v>1477</v>
      </c>
      <c r="Q390" s="1"/>
      <c r="R390" s="1"/>
    </row>
    <row r="391" spans="1:18">
      <c r="A391" t="s">
        <v>1478</v>
      </c>
      <c r="Q391" s="1"/>
      <c r="R391" s="1"/>
    </row>
    <row r="392" spans="1:18">
      <c r="A392" t="s">
        <v>1479</v>
      </c>
      <c r="Q392" s="1"/>
      <c r="R392" s="1"/>
    </row>
    <row r="393" spans="1:18">
      <c r="A393" t="s">
        <v>1480</v>
      </c>
      <c r="Q393" s="1"/>
      <c r="R393" s="1"/>
    </row>
    <row r="394" spans="1:18">
      <c r="A394" t="s">
        <v>1481</v>
      </c>
      <c r="Q394" s="1"/>
      <c r="R394" s="1"/>
    </row>
    <row r="395" spans="1:18">
      <c r="A395" t="s">
        <v>1482</v>
      </c>
      <c r="Q395" s="1"/>
      <c r="R395" s="1"/>
    </row>
    <row r="396" spans="1:18">
      <c r="A396" t="s">
        <v>1483</v>
      </c>
      <c r="Q396" s="1"/>
      <c r="R396" s="1"/>
    </row>
    <row r="397" spans="1:18">
      <c r="Q397" s="1"/>
      <c r="R397" s="1"/>
    </row>
    <row r="398" spans="1:18">
      <c r="A398" t="s">
        <v>1197</v>
      </c>
      <c r="Q398" s="1"/>
      <c r="R398" s="1"/>
    </row>
    <row r="399" spans="1:18">
      <c r="Q399" s="1"/>
      <c r="R399" s="1"/>
    </row>
    <row r="400" spans="1:18">
      <c r="A400" t="s">
        <v>1484</v>
      </c>
      <c r="Q400" s="1"/>
      <c r="R400" s="1"/>
    </row>
    <row r="401" spans="1:18">
      <c r="Q401" s="1"/>
      <c r="R401" s="1"/>
    </row>
    <row r="402" spans="1:18">
      <c r="A402" t="s">
        <v>1485</v>
      </c>
      <c r="Q402" s="1"/>
      <c r="R402" s="1"/>
    </row>
    <row r="403" spans="1:18">
      <c r="Q403" s="1"/>
      <c r="R403" s="1"/>
    </row>
    <row r="404" spans="1:18">
      <c r="A404" t="s">
        <v>1197</v>
      </c>
      <c r="Q404" s="1"/>
      <c r="R404" s="1"/>
    </row>
    <row r="405" spans="1:18">
      <c r="Q405" s="1"/>
      <c r="R405" s="1"/>
    </row>
    <row r="406" spans="1:18">
      <c r="A406" t="s">
        <v>1486</v>
      </c>
      <c r="Q406" s="1"/>
      <c r="R406" s="1"/>
    </row>
    <row r="407" spans="1:18">
      <c r="Q407" s="1"/>
      <c r="R407" s="1"/>
    </row>
    <row r="408" spans="1:18">
      <c r="A408" t="s">
        <v>1416</v>
      </c>
      <c r="Q408" s="1"/>
      <c r="R408" s="1"/>
    </row>
    <row r="409" spans="1:18">
      <c r="Q409" s="1"/>
      <c r="R409" s="1"/>
    </row>
    <row r="410" spans="1:18">
      <c r="A410" t="s">
        <v>1417</v>
      </c>
      <c r="Q410" s="1"/>
      <c r="R410" s="1"/>
    </row>
    <row r="411" spans="1:18">
      <c r="A411" t="s">
        <v>1418</v>
      </c>
      <c r="Q411" s="1"/>
      <c r="R411" s="1"/>
    </row>
    <row r="412" spans="1:18">
      <c r="A412" t="s">
        <v>1487</v>
      </c>
      <c r="Q412" s="1"/>
      <c r="R412" s="1"/>
    </row>
    <row r="413" spans="1:18">
      <c r="A413" t="s">
        <v>1488</v>
      </c>
      <c r="Q413" s="1"/>
      <c r="R413" s="1"/>
    </row>
    <row r="414" spans="1:18">
      <c r="A414" t="s">
        <v>1489</v>
      </c>
      <c r="Q414" s="1"/>
      <c r="R414" s="1"/>
    </row>
    <row r="415" spans="1:18">
      <c r="A415" t="s">
        <v>1490</v>
      </c>
      <c r="Q415" s="1"/>
      <c r="R415" s="1"/>
    </row>
    <row r="416" spans="1:18">
      <c r="A416" t="s">
        <v>1491</v>
      </c>
      <c r="Q416" s="1"/>
      <c r="R416" s="1"/>
    </row>
    <row r="417" spans="1:18">
      <c r="A417" t="s">
        <v>1492</v>
      </c>
      <c r="Q417" s="1"/>
      <c r="R417" s="1"/>
    </row>
    <row r="418" spans="1:18">
      <c r="A418" t="s">
        <v>1493</v>
      </c>
      <c r="Q418" s="1"/>
      <c r="R418" s="1"/>
    </row>
    <row r="419" spans="1:18">
      <c r="A419" t="s">
        <v>1494</v>
      </c>
      <c r="Q419" s="1"/>
      <c r="R419" s="1"/>
    </row>
    <row r="420" spans="1:18">
      <c r="Q420" s="1"/>
      <c r="R420" s="1"/>
    </row>
    <row r="421" spans="1:18">
      <c r="A421" t="s">
        <v>1427</v>
      </c>
      <c r="Q421" s="1"/>
      <c r="R421" s="1"/>
    </row>
    <row r="422" spans="1:18">
      <c r="Q422" s="1"/>
      <c r="R422" s="1"/>
    </row>
    <row r="423" spans="1:18">
      <c r="A423" t="s">
        <v>1417</v>
      </c>
      <c r="Q423" s="1"/>
      <c r="R423" s="1"/>
    </row>
    <row r="424" spans="1:18">
      <c r="A424" t="s">
        <v>1418</v>
      </c>
      <c r="Q424" s="1"/>
      <c r="R424" s="1"/>
    </row>
    <row r="425" spans="1:18">
      <c r="A425" t="s">
        <v>1495</v>
      </c>
      <c r="Q425" s="1"/>
      <c r="R425" s="1"/>
    </row>
    <row r="426" spans="1:18">
      <c r="A426" t="s">
        <v>1496</v>
      </c>
      <c r="Q426" s="1"/>
      <c r="R426" s="1"/>
    </row>
    <row r="427" spans="1:18">
      <c r="A427" t="s">
        <v>1497</v>
      </c>
      <c r="Q427" s="1"/>
      <c r="R427" s="1"/>
    </row>
    <row r="428" spans="1:18">
      <c r="A428" t="s">
        <v>1498</v>
      </c>
      <c r="Q428" s="1"/>
      <c r="R428" s="1"/>
    </row>
    <row r="429" spans="1:18">
      <c r="A429" t="s">
        <v>1499</v>
      </c>
      <c r="Q429" s="1"/>
      <c r="R429" s="1"/>
    </row>
    <row r="430" spans="1:18">
      <c r="Q430" s="1"/>
      <c r="R430" s="1"/>
    </row>
    <row r="431" spans="1:18">
      <c r="A431" t="s">
        <v>1197</v>
      </c>
      <c r="Q431" s="1"/>
      <c r="R431" s="1"/>
    </row>
    <row r="432" spans="1:18">
      <c r="Q432" s="1"/>
      <c r="R432" s="1"/>
    </row>
    <row r="433" spans="1:18">
      <c r="A433" t="s">
        <v>1500</v>
      </c>
      <c r="Q433" s="1"/>
      <c r="R433" s="1"/>
    </row>
    <row r="434" spans="1:18">
      <c r="Q434" s="1"/>
      <c r="R434" s="1"/>
    </row>
    <row r="435" spans="1:18">
      <c r="A435" t="s">
        <v>1416</v>
      </c>
      <c r="Q435" s="1"/>
      <c r="R435" s="1"/>
    </row>
    <row r="436" spans="1:18">
      <c r="Q436" s="1"/>
      <c r="R436" s="1"/>
    </row>
    <row r="437" spans="1:18">
      <c r="A437" t="s">
        <v>1417</v>
      </c>
      <c r="Q437" s="1"/>
      <c r="R437" s="1"/>
    </row>
    <row r="438" spans="1:18">
      <c r="A438" t="s">
        <v>1418</v>
      </c>
      <c r="Q438" s="1"/>
      <c r="R438" s="1"/>
    </row>
    <row r="439" spans="1:18">
      <c r="A439" t="s">
        <v>1501</v>
      </c>
      <c r="Q439" s="1"/>
      <c r="R439" s="1"/>
    </row>
    <row r="440" spans="1:18">
      <c r="A440" t="s">
        <v>1502</v>
      </c>
      <c r="Q440" s="1"/>
      <c r="R440" s="1"/>
    </row>
    <row r="441" spans="1:18">
      <c r="A441" t="s">
        <v>1503</v>
      </c>
      <c r="Q441" s="1"/>
      <c r="R441" s="1"/>
    </row>
    <row r="442" spans="1:18">
      <c r="A442" t="s">
        <v>1504</v>
      </c>
      <c r="Q442" s="1"/>
      <c r="R442" s="1"/>
    </row>
    <row r="443" spans="1:18">
      <c r="A443" t="s">
        <v>1505</v>
      </c>
      <c r="Q443" s="1"/>
      <c r="R443" s="1"/>
    </row>
    <row r="444" spans="1:18">
      <c r="A444" t="s">
        <v>1506</v>
      </c>
      <c r="Q444" s="1"/>
      <c r="R444" s="1"/>
    </row>
    <row r="445" spans="1:18">
      <c r="A445" t="s">
        <v>1507</v>
      </c>
      <c r="Q445" s="1"/>
      <c r="R445" s="1"/>
    </row>
    <row r="446" spans="1:18">
      <c r="A446" t="s">
        <v>1508</v>
      </c>
      <c r="Q446" s="1"/>
      <c r="R446" s="1"/>
    </row>
    <row r="447" spans="1:18">
      <c r="Q447" s="1"/>
      <c r="R447" s="1"/>
    </row>
    <row r="448" spans="1:18">
      <c r="A448" t="s">
        <v>1427</v>
      </c>
      <c r="Q448" s="1"/>
      <c r="R448" s="1"/>
    </row>
    <row r="449" spans="1:18">
      <c r="Q449" s="1"/>
      <c r="R449" s="1"/>
    </row>
    <row r="450" spans="1:18">
      <c r="A450" t="s">
        <v>1417</v>
      </c>
      <c r="Q450" s="1"/>
      <c r="R450" s="1"/>
    </row>
    <row r="451" spans="1:18">
      <c r="A451" t="s">
        <v>1418</v>
      </c>
      <c r="Q451" s="1"/>
      <c r="R451" s="1"/>
    </row>
    <row r="452" spans="1:18">
      <c r="A452" t="s">
        <v>1509</v>
      </c>
      <c r="Q452" s="1"/>
      <c r="R452" s="1"/>
    </row>
    <row r="453" spans="1:18">
      <c r="A453" t="s">
        <v>1510</v>
      </c>
      <c r="Q453" s="1"/>
      <c r="R453" s="1"/>
    </row>
    <row r="454" spans="1:18">
      <c r="A454" t="s">
        <v>1511</v>
      </c>
      <c r="Q454" s="1"/>
      <c r="R454" s="1"/>
    </row>
    <row r="455" spans="1:18">
      <c r="A455" t="s">
        <v>1512</v>
      </c>
      <c r="Q455" s="1"/>
      <c r="R455" s="1"/>
    </row>
    <row r="456" spans="1:18">
      <c r="A456" t="s">
        <v>1513</v>
      </c>
      <c r="Q456" s="1"/>
      <c r="R456" s="1"/>
    </row>
    <row r="457" spans="1:18">
      <c r="Q457" s="1"/>
      <c r="R457" s="1"/>
    </row>
    <row r="458" spans="1:18">
      <c r="A458" t="s">
        <v>1197</v>
      </c>
      <c r="Q458" s="1"/>
      <c r="R458" s="1"/>
    </row>
    <row r="459" spans="1:18">
      <c r="Q459" s="1"/>
      <c r="R459" s="1"/>
    </row>
    <row r="460" spans="1:18">
      <c r="A460" t="s">
        <v>1514</v>
      </c>
      <c r="Q460" s="1"/>
      <c r="R460" s="1"/>
    </row>
    <row r="461" spans="1:18">
      <c r="Q461" s="1"/>
      <c r="R461" s="1"/>
    </row>
    <row r="462" spans="1:18">
      <c r="A462" t="s">
        <v>1416</v>
      </c>
      <c r="Q462" s="1"/>
      <c r="R462" s="1"/>
    </row>
    <row r="463" spans="1:18">
      <c r="Q463" s="1"/>
      <c r="R463" s="1"/>
    </row>
    <row r="464" spans="1:18">
      <c r="A464" t="s">
        <v>1417</v>
      </c>
      <c r="Q464" s="1"/>
      <c r="R464" s="1"/>
    </row>
    <row r="465" spans="1:18">
      <c r="A465" t="s">
        <v>1418</v>
      </c>
      <c r="Q465" s="1"/>
      <c r="R465" s="1"/>
    </row>
    <row r="466" spans="1:18">
      <c r="A466" t="s">
        <v>1515</v>
      </c>
      <c r="Q466" s="1"/>
      <c r="R466" s="1"/>
    </row>
    <row r="467" spans="1:18">
      <c r="A467" t="s">
        <v>1516</v>
      </c>
      <c r="Q467" s="1"/>
      <c r="R467" s="1"/>
    </row>
    <row r="468" spans="1:18">
      <c r="A468" t="s">
        <v>1517</v>
      </c>
      <c r="Q468" s="1"/>
      <c r="R468" s="1"/>
    </row>
    <row r="469" spans="1:18">
      <c r="A469" t="s">
        <v>1518</v>
      </c>
      <c r="Q469" s="1"/>
      <c r="R469" s="1"/>
    </row>
    <row r="470" spans="1:18">
      <c r="A470" t="s">
        <v>1519</v>
      </c>
      <c r="Q470" s="1"/>
      <c r="R470" s="1"/>
    </row>
    <row r="471" spans="1:18">
      <c r="A471" t="s">
        <v>1520</v>
      </c>
      <c r="Q471" s="1"/>
      <c r="R471" s="1"/>
    </row>
    <row r="472" spans="1:18">
      <c r="A472" t="s">
        <v>1521</v>
      </c>
      <c r="Q472" s="1"/>
      <c r="R472" s="1"/>
    </row>
    <row r="473" spans="1:18">
      <c r="A473" t="s">
        <v>1522</v>
      </c>
      <c r="Q473" s="1"/>
      <c r="R473" s="1"/>
    </row>
    <row r="474" spans="1:18">
      <c r="Q474" s="1"/>
      <c r="R474" s="1"/>
    </row>
    <row r="475" spans="1:18">
      <c r="A475" t="s">
        <v>1427</v>
      </c>
      <c r="Q475" s="1"/>
      <c r="R475" s="1"/>
    </row>
    <row r="476" spans="1:18">
      <c r="Q476" s="1"/>
      <c r="R476" s="1"/>
    </row>
    <row r="477" spans="1:18">
      <c r="A477" t="s">
        <v>1417</v>
      </c>
      <c r="Q477" s="1"/>
      <c r="R477" s="1"/>
    </row>
    <row r="478" spans="1:18">
      <c r="A478" t="s">
        <v>1418</v>
      </c>
      <c r="Q478" s="1"/>
      <c r="R478" s="1"/>
    </row>
    <row r="479" spans="1:18">
      <c r="A479" t="s">
        <v>1523</v>
      </c>
      <c r="Q479" s="1"/>
      <c r="R479" s="1"/>
    </row>
    <row r="480" spans="1:18">
      <c r="A480" t="s">
        <v>1524</v>
      </c>
      <c r="Q480" s="1"/>
      <c r="R480" s="1"/>
    </row>
    <row r="481" spans="1:18">
      <c r="A481" t="s">
        <v>1525</v>
      </c>
      <c r="Q481" s="1"/>
      <c r="R481" s="1"/>
    </row>
    <row r="482" spans="1:18">
      <c r="A482" t="s">
        <v>1526</v>
      </c>
      <c r="Q482" s="1"/>
      <c r="R482" s="1"/>
    </row>
    <row r="483" spans="1:18">
      <c r="A483" t="s">
        <v>1527</v>
      </c>
      <c r="Q483" s="1"/>
      <c r="R483" s="1"/>
    </row>
    <row r="484" spans="1:18">
      <c r="Q484" s="1"/>
      <c r="R484" s="1"/>
    </row>
    <row r="485" spans="1:18">
      <c r="A485" t="s">
        <v>1197</v>
      </c>
      <c r="Q485" s="1"/>
      <c r="R485" s="1"/>
    </row>
    <row r="486" spans="1:18">
      <c r="Q486" s="1"/>
      <c r="R486" s="1"/>
    </row>
    <row r="487" spans="1:18">
      <c r="A487" t="s">
        <v>1528</v>
      </c>
      <c r="Q487" s="1"/>
      <c r="R487" s="1"/>
    </row>
    <row r="488" spans="1:18">
      <c r="Q488" s="1"/>
      <c r="R488" s="1"/>
    </row>
    <row r="489" spans="1:18">
      <c r="A489" t="s">
        <v>1416</v>
      </c>
      <c r="Q489" s="1"/>
      <c r="R489" s="1"/>
    </row>
    <row r="490" spans="1:18">
      <c r="Q490" s="1"/>
      <c r="R490" s="1"/>
    </row>
    <row r="491" spans="1:18">
      <c r="A491" t="s">
        <v>1417</v>
      </c>
      <c r="Q491" s="1"/>
      <c r="R491" s="1"/>
    </row>
    <row r="492" spans="1:18">
      <c r="A492" t="s">
        <v>1418</v>
      </c>
      <c r="Q492" s="1"/>
      <c r="R492" s="1"/>
    </row>
    <row r="493" spans="1:18">
      <c r="A493" t="s">
        <v>1529</v>
      </c>
      <c r="Q493" s="1"/>
      <c r="R493" s="1"/>
    </row>
    <row r="494" spans="1:18">
      <c r="A494" t="s">
        <v>1530</v>
      </c>
      <c r="Q494" s="1"/>
      <c r="R494" s="1"/>
    </row>
    <row r="495" spans="1:18">
      <c r="A495" t="s">
        <v>1531</v>
      </c>
      <c r="Q495" s="1"/>
      <c r="R495" s="1"/>
    </row>
    <row r="496" spans="1:18">
      <c r="A496" t="s">
        <v>1532</v>
      </c>
      <c r="Q496" s="1"/>
      <c r="R496" s="1"/>
    </row>
    <row r="497" spans="1:18">
      <c r="A497" t="s">
        <v>1533</v>
      </c>
      <c r="Q497" s="1"/>
      <c r="R497" s="1"/>
    </row>
    <row r="498" spans="1:18">
      <c r="A498" t="s">
        <v>1534</v>
      </c>
      <c r="Q498" s="1"/>
      <c r="R498" s="1"/>
    </row>
    <row r="499" spans="1:18">
      <c r="A499" t="s">
        <v>1535</v>
      </c>
      <c r="Q499" s="1"/>
      <c r="R499" s="1"/>
    </row>
    <row r="500" spans="1:18">
      <c r="A500" t="s">
        <v>1536</v>
      </c>
      <c r="Q500" s="1"/>
      <c r="R500" s="1"/>
    </row>
    <row r="501" spans="1:18">
      <c r="Q501" s="1"/>
      <c r="R501" s="1"/>
    </row>
    <row r="502" spans="1:18">
      <c r="A502" t="s">
        <v>1427</v>
      </c>
      <c r="Q502" s="1"/>
      <c r="R502" s="1"/>
    </row>
    <row r="503" spans="1:18">
      <c r="Q503" s="1"/>
      <c r="R503" s="1"/>
    </row>
    <row r="504" spans="1:18">
      <c r="A504" t="s">
        <v>1417</v>
      </c>
      <c r="Q504" s="1"/>
      <c r="R504" s="1"/>
    </row>
    <row r="505" spans="1:18">
      <c r="A505" t="s">
        <v>1418</v>
      </c>
      <c r="Q505" s="1"/>
      <c r="R505" s="1"/>
    </row>
    <row r="506" spans="1:18">
      <c r="A506" t="s">
        <v>1537</v>
      </c>
      <c r="Q506" s="1"/>
      <c r="R506" s="1"/>
    </row>
    <row r="507" spans="1:18">
      <c r="A507" t="s">
        <v>1538</v>
      </c>
      <c r="Q507" s="1"/>
      <c r="R507" s="1"/>
    </row>
    <row r="508" spans="1:18">
      <c r="A508" t="s">
        <v>1539</v>
      </c>
      <c r="Q508" s="1"/>
      <c r="R508" s="1"/>
    </row>
    <row r="509" spans="1:18">
      <c r="A509" t="s">
        <v>1540</v>
      </c>
      <c r="Q509" s="1"/>
      <c r="R509" s="1"/>
    </row>
    <row r="510" spans="1:18">
      <c r="A510" t="s">
        <v>1541</v>
      </c>
      <c r="Q510" s="1"/>
      <c r="R510" s="1"/>
    </row>
    <row r="511" spans="1:18">
      <c r="Q511" s="1"/>
      <c r="R511" s="1"/>
    </row>
    <row r="512" spans="1:18">
      <c r="A512" t="s">
        <v>1197</v>
      </c>
      <c r="Q512" s="1"/>
      <c r="R512" s="1"/>
    </row>
    <row r="513" spans="1:18">
      <c r="Q513" s="1"/>
      <c r="R513" s="1"/>
    </row>
    <row r="514" spans="1:18">
      <c r="A514" t="s">
        <v>1475</v>
      </c>
      <c r="Q514" s="1"/>
      <c r="R514" s="1"/>
    </row>
    <row r="515" spans="1:18">
      <c r="Q515" s="1"/>
      <c r="R515" s="1"/>
    </row>
    <row r="516" spans="1:18">
      <c r="A516" t="s">
        <v>1417</v>
      </c>
      <c r="Q516" s="1"/>
      <c r="R516" s="1"/>
    </row>
    <row r="517" spans="1:18">
      <c r="A517" t="s">
        <v>1418</v>
      </c>
      <c r="Q517" s="1"/>
      <c r="R517" s="1"/>
    </row>
    <row r="518" spans="1:18">
      <c r="A518" t="s">
        <v>1542</v>
      </c>
      <c r="Q518" s="1"/>
      <c r="R518" s="1"/>
    </row>
    <row r="519" spans="1:18">
      <c r="A519" t="s">
        <v>1543</v>
      </c>
      <c r="Q519" s="1"/>
      <c r="R519" s="1"/>
    </row>
    <row r="520" spans="1:18">
      <c r="A520" t="s">
        <v>1544</v>
      </c>
      <c r="Q520" s="1"/>
      <c r="R520" s="1"/>
    </row>
    <row r="521" spans="1:18">
      <c r="A521" t="s">
        <v>1545</v>
      </c>
      <c r="Q521" s="1"/>
      <c r="R521" s="1"/>
    </row>
    <row r="522" spans="1:18">
      <c r="A522" t="s">
        <v>1546</v>
      </c>
      <c r="Q522" s="1"/>
      <c r="R522" s="1"/>
    </row>
    <row r="523" spans="1:18">
      <c r="A523" t="s">
        <v>1547</v>
      </c>
      <c r="Q523" s="1"/>
      <c r="R523" s="1"/>
    </row>
    <row r="524" spans="1:18">
      <c r="A524" t="s">
        <v>1548</v>
      </c>
      <c r="Q524" s="1"/>
      <c r="R524" s="1"/>
    </row>
    <row r="525" spans="1:18">
      <c r="A525" t="s">
        <v>1549</v>
      </c>
      <c r="Q525" s="1"/>
      <c r="R525" s="1"/>
    </row>
    <row r="526" spans="1:18">
      <c r="Q526" s="1"/>
      <c r="R526" s="1"/>
    </row>
    <row r="527" spans="1:18">
      <c r="A527" t="s">
        <v>1197</v>
      </c>
      <c r="Q527" s="1"/>
      <c r="R527" s="1"/>
    </row>
    <row r="528" spans="1:18">
      <c r="Q528" s="1"/>
      <c r="R528" s="1"/>
    </row>
    <row r="529" spans="1:18">
      <c r="A529" t="s">
        <v>1550</v>
      </c>
      <c r="Q529" s="1"/>
      <c r="R529" s="1"/>
    </row>
    <row r="530" spans="1:18">
      <c r="Q530" s="1"/>
      <c r="R530" s="1"/>
    </row>
    <row r="531" spans="1:18">
      <c r="A531" t="s">
        <v>1551</v>
      </c>
      <c r="Q531" s="1"/>
      <c r="R531" s="1"/>
    </row>
    <row r="532" spans="1:18">
      <c r="A532" t="s">
        <v>1552</v>
      </c>
      <c r="Q532" s="1"/>
      <c r="R532" s="1"/>
    </row>
    <row r="533" spans="1:18">
      <c r="A533" t="s">
        <v>1553</v>
      </c>
      <c r="Q533" s="1"/>
      <c r="R533" s="1"/>
    </row>
    <row r="534" spans="1:18">
      <c r="A534" t="s">
        <v>1554</v>
      </c>
      <c r="Q534" s="1"/>
      <c r="R534" s="1"/>
    </row>
    <row r="535" spans="1:18">
      <c r="A535" t="s">
        <v>1555</v>
      </c>
      <c r="Q535" s="1"/>
      <c r="R535" s="1"/>
    </row>
    <row r="536" spans="1:18">
      <c r="A536" t="s">
        <v>1556</v>
      </c>
      <c r="Q536" s="1"/>
      <c r="R536" s="1"/>
    </row>
    <row r="537" spans="1:18">
      <c r="A537" t="s">
        <v>1557</v>
      </c>
      <c r="Q537" s="1"/>
      <c r="R537" s="1"/>
    </row>
    <row r="538" spans="1:18">
      <c r="Q538" s="1"/>
      <c r="R538" s="1"/>
    </row>
    <row r="539" spans="1:18">
      <c r="Q539" s="1"/>
      <c r="R539" s="1"/>
    </row>
    <row r="540" spans="1:18">
      <c r="Q540" s="1"/>
      <c r="R540" s="1"/>
    </row>
    <row r="541" spans="1:18">
      <c r="Q541" s="1"/>
      <c r="R541" s="1"/>
    </row>
    <row r="542" spans="1:18">
      <c r="Q542" s="1"/>
      <c r="R542" s="1"/>
    </row>
    <row r="543" spans="1:18">
      <c r="Q543" s="1"/>
      <c r="R543" s="1"/>
    </row>
    <row r="544" spans="1:18">
      <c r="Q544" s="1"/>
      <c r="R544" s="1"/>
    </row>
    <row r="545" spans="17:18">
      <c r="Q545" s="1"/>
      <c r="R545" s="1"/>
    </row>
    <row r="546" spans="17:18">
      <c r="Q546" s="1"/>
      <c r="R546" s="1"/>
    </row>
    <row r="547" spans="17:18">
      <c r="Q547" s="1"/>
      <c r="R547" s="1"/>
    </row>
    <row r="548" spans="17:18">
      <c r="Q548" s="1"/>
      <c r="R548" s="1"/>
    </row>
    <row r="549" spans="17:18">
      <c r="Q549" s="1"/>
      <c r="R549" s="1"/>
    </row>
    <row r="550" spans="17:18">
      <c r="Q550" s="1"/>
      <c r="R550" s="1"/>
    </row>
    <row r="551" spans="17:18">
      <c r="Q551" s="1"/>
      <c r="R551" s="1"/>
    </row>
    <row r="552" spans="17:18">
      <c r="Q552" s="1"/>
      <c r="R552" s="1"/>
    </row>
    <row r="553" spans="17:18">
      <c r="Q553" s="1"/>
      <c r="R553" s="1"/>
    </row>
    <row r="554" spans="17:18">
      <c r="Q554" s="1"/>
      <c r="R554" s="1"/>
    </row>
    <row r="555" spans="17:18">
      <c r="Q555" s="1"/>
      <c r="R555" s="1"/>
    </row>
    <row r="556" spans="17:18">
      <c r="Q556" s="1"/>
      <c r="R556" s="1"/>
    </row>
    <row r="557" spans="17:18">
      <c r="Q557" s="1"/>
      <c r="R557" s="1"/>
    </row>
    <row r="558" spans="17:18">
      <c r="Q558" s="1"/>
      <c r="R558" s="1"/>
    </row>
    <row r="559" spans="17:18">
      <c r="Q559" s="1"/>
      <c r="R559" s="1"/>
    </row>
    <row r="560" spans="17:18">
      <c r="Q560" s="1"/>
      <c r="R560" s="1"/>
    </row>
    <row r="561" spans="17:18">
      <c r="Q561" s="1"/>
      <c r="R561" s="1"/>
    </row>
    <row r="562" spans="17:18">
      <c r="Q562" s="1"/>
      <c r="R562" s="1"/>
    </row>
    <row r="563" spans="17:18">
      <c r="Q563" s="1"/>
      <c r="R563" s="1"/>
    </row>
    <row r="564" spans="17:18">
      <c r="Q564" s="1"/>
      <c r="R564" s="1"/>
    </row>
    <row r="565" spans="17:18">
      <c r="Q565" s="1"/>
      <c r="R565" s="1"/>
    </row>
    <row r="566" spans="17:18">
      <c r="Q566" s="1"/>
      <c r="R566" s="1"/>
    </row>
    <row r="567" spans="17:18">
      <c r="Q567" s="1"/>
      <c r="R567" s="1"/>
    </row>
    <row r="568" spans="17:18">
      <c r="Q568" s="1"/>
      <c r="R568" s="1"/>
    </row>
    <row r="569" spans="17:18">
      <c r="Q569" s="1"/>
      <c r="R569" s="1"/>
    </row>
    <row r="570" spans="17:18">
      <c r="Q570" s="1"/>
      <c r="R570" s="1"/>
    </row>
    <row r="571" spans="17:18">
      <c r="Q571" s="1"/>
      <c r="R571" s="1"/>
    </row>
    <row r="572" spans="17:18">
      <c r="Q572" s="1"/>
      <c r="R572" s="1"/>
    </row>
    <row r="573" spans="17:18">
      <c r="Q573" s="1"/>
      <c r="R573" s="1"/>
    </row>
    <row r="574" spans="17:18">
      <c r="Q574" s="1"/>
      <c r="R574" s="1"/>
    </row>
    <row r="575" spans="17:18">
      <c r="Q575" s="1"/>
      <c r="R575" s="1"/>
    </row>
    <row r="576" spans="17:18">
      <c r="Q576" s="1"/>
      <c r="R576" s="1"/>
    </row>
    <row r="577" spans="17:18">
      <c r="Q577" s="1"/>
      <c r="R577" s="1"/>
    </row>
    <row r="578" spans="17:18">
      <c r="Q578" s="1"/>
      <c r="R578" s="1"/>
    </row>
    <row r="579" spans="17:18">
      <c r="Q579" s="1"/>
      <c r="R579" s="1"/>
    </row>
    <row r="580" spans="17:18">
      <c r="Q580" s="1"/>
      <c r="R580" s="1"/>
    </row>
    <row r="581" spans="17:18">
      <c r="Q581" s="1"/>
      <c r="R581" s="1"/>
    </row>
    <row r="582" spans="17:18">
      <c r="Q582" s="1"/>
      <c r="R582" s="1"/>
    </row>
    <row r="583" spans="17:18">
      <c r="Q583" s="1"/>
      <c r="R583" s="1"/>
    </row>
    <row r="584" spans="17:18">
      <c r="Q584" s="1"/>
      <c r="R584" s="1"/>
    </row>
    <row r="585" spans="17:18">
      <c r="Q585" s="1"/>
      <c r="R585" s="1"/>
    </row>
    <row r="586" spans="17:18">
      <c r="Q586" s="1"/>
      <c r="R586" s="1"/>
    </row>
    <row r="587" spans="17:18">
      <c r="Q587" s="1"/>
      <c r="R587" s="1"/>
    </row>
    <row r="588" spans="17:18">
      <c r="Q588" s="1"/>
      <c r="R588" s="1"/>
    </row>
    <row r="589" spans="17:18">
      <c r="Q589" s="1"/>
      <c r="R589" s="1"/>
    </row>
    <row r="590" spans="17:18">
      <c r="Q590" s="1"/>
      <c r="R590" s="1"/>
    </row>
    <row r="591" spans="17:18">
      <c r="Q591" s="1"/>
      <c r="R591" s="1"/>
    </row>
    <row r="592" spans="17:18">
      <c r="Q592" s="1"/>
      <c r="R592" s="1"/>
    </row>
    <row r="593" spans="17:18">
      <c r="Q593" s="1"/>
      <c r="R593" s="1"/>
    </row>
    <row r="594" spans="17:18">
      <c r="Q594" s="1"/>
      <c r="R594" s="1"/>
    </row>
    <row r="595" spans="17:18">
      <c r="Q595" s="1"/>
      <c r="R595" s="1"/>
    </row>
    <row r="596" spans="17:18">
      <c r="Q596" s="1"/>
      <c r="R596" s="1"/>
    </row>
    <row r="597" spans="17:18">
      <c r="Q597" s="1"/>
      <c r="R597" s="1"/>
    </row>
    <row r="598" spans="17:18">
      <c r="Q598" s="1"/>
      <c r="R598" s="1"/>
    </row>
    <row r="599" spans="17:18">
      <c r="Q599" s="1"/>
      <c r="R599" s="1"/>
    </row>
    <row r="600" spans="17:18">
      <c r="Q600" s="1"/>
      <c r="R600" s="1"/>
    </row>
    <row r="601" spans="17:18">
      <c r="Q601" s="1"/>
      <c r="R601" s="1"/>
    </row>
    <row r="602" spans="17:18">
      <c r="Q602" s="1"/>
      <c r="R602" s="1"/>
    </row>
    <row r="603" spans="17:18">
      <c r="Q603" s="1"/>
      <c r="R603" s="1"/>
    </row>
    <row r="604" spans="17:18">
      <c r="Q604" s="1"/>
      <c r="R604" s="1"/>
    </row>
    <row r="605" spans="17:18">
      <c r="Q605" s="1"/>
      <c r="R605" s="1"/>
    </row>
    <row r="606" spans="17:18">
      <c r="Q606" s="1"/>
      <c r="R606" s="1"/>
    </row>
    <row r="607" spans="17:18">
      <c r="Q607" s="1"/>
      <c r="R607" s="1"/>
    </row>
    <row r="608" spans="17:18">
      <c r="Q608" s="1"/>
      <c r="R608" s="1"/>
    </row>
    <row r="609" spans="17:18">
      <c r="Q609" s="1"/>
      <c r="R609" s="1"/>
    </row>
    <row r="610" spans="17:18">
      <c r="Q610" s="1"/>
      <c r="R610" s="1"/>
    </row>
    <row r="611" spans="17:18">
      <c r="Q611" s="1"/>
      <c r="R611" s="1"/>
    </row>
    <row r="612" spans="17:18">
      <c r="Q612" s="1"/>
      <c r="R612" s="1"/>
    </row>
    <row r="613" spans="17:18">
      <c r="Q613" s="1"/>
      <c r="R613" s="1"/>
    </row>
    <row r="614" spans="17:18">
      <c r="Q614" s="1"/>
      <c r="R614" s="1"/>
    </row>
    <row r="615" spans="17:18">
      <c r="Q615" s="1"/>
      <c r="R615" s="1"/>
    </row>
    <row r="616" spans="17:18">
      <c r="Q616" s="1"/>
      <c r="R616" s="1"/>
    </row>
    <row r="617" spans="17:18">
      <c r="Q617" s="1"/>
      <c r="R617" s="1"/>
    </row>
    <row r="618" spans="17:18">
      <c r="Q618" s="1"/>
      <c r="R618" s="1"/>
    </row>
    <row r="619" spans="17:18">
      <c r="Q619" s="1"/>
      <c r="R619" s="1"/>
    </row>
    <row r="620" spans="17:18">
      <c r="Q620" s="1"/>
      <c r="R620" s="1"/>
    </row>
    <row r="621" spans="17:18">
      <c r="Q621" s="1"/>
      <c r="R621" s="1"/>
    </row>
    <row r="622" spans="17:18">
      <c r="Q622" s="1"/>
      <c r="R622" s="1"/>
    </row>
    <row r="623" spans="17:18">
      <c r="Q623" s="1"/>
      <c r="R623" s="1"/>
    </row>
    <row r="624" spans="17:18">
      <c r="Q624" s="1"/>
      <c r="R624" s="1"/>
    </row>
    <row r="625" spans="17:18">
      <c r="Q625" s="1"/>
      <c r="R625" s="1"/>
    </row>
    <row r="626" spans="17:18">
      <c r="Q626" s="1"/>
      <c r="R626" s="1"/>
    </row>
    <row r="627" spans="17:18">
      <c r="Q627" s="1"/>
      <c r="R627" s="1"/>
    </row>
    <row r="628" spans="17:18">
      <c r="Q628" s="1"/>
      <c r="R628" s="1"/>
    </row>
    <row r="629" spans="17:18">
      <c r="Q629" s="1"/>
      <c r="R629" s="1"/>
    </row>
    <row r="630" spans="17:18">
      <c r="Q630" s="1"/>
      <c r="R630" s="1"/>
    </row>
    <row r="631" spans="17:18">
      <c r="Q631" s="1"/>
      <c r="R631" s="1"/>
    </row>
    <row r="632" spans="17:18">
      <c r="Q632" s="1"/>
      <c r="R632" s="1"/>
    </row>
    <row r="633" spans="17:18">
      <c r="Q633" s="1"/>
      <c r="R633" s="1"/>
    </row>
    <row r="634" spans="17:18">
      <c r="Q634" s="1"/>
      <c r="R634" s="1"/>
    </row>
    <row r="635" spans="17:18">
      <c r="Q635" s="1"/>
      <c r="R635" s="1"/>
    </row>
    <row r="636" spans="17:18">
      <c r="Q636" s="1"/>
      <c r="R636" s="1"/>
    </row>
    <row r="637" spans="17:18">
      <c r="Q637" s="1"/>
      <c r="R637" s="1"/>
    </row>
    <row r="638" spans="17:18">
      <c r="Q638" s="1"/>
      <c r="R638" s="1"/>
    </row>
    <row r="639" spans="17:18">
      <c r="Q639" s="1"/>
      <c r="R639" s="1"/>
    </row>
    <row r="640" spans="17:18">
      <c r="Q640" s="1"/>
      <c r="R640" s="1"/>
    </row>
    <row r="641" spans="17:18">
      <c r="Q641" s="1"/>
      <c r="R641" s="1"/>
    </row>
    <row r="642" spans="17:18">
      <c r="Q642" s="1"/>
      <c r="R642" s="1"/>
    </row>
    <row r="643" spans="17:18">
      <c r="Q643" s="1"/>
      <c r="R643" s="1"/>
    </row>
    <row r="644" spans="17:18">
      <c r="Q644" s="1"/>
      <c r="R644" s="1"/>
    </row>
    <row r="645" spans="17:18">
      <c r="Q645" s="1"/>
      <c r="R645" s="1"/>
    </row>
    <row r="646" spans="17:18">
      <c r="Q646" s="1"/>
      <c r="R646" s="1"/>
    </row>
    <row r="647" spans="17:18">
      <c r="Q647" s="1"/>
      <c r="R647" s="1"/>
    </row>
    <row r="648" spans="17:18">
      <c r="Q648" s="1"/>
      <c r="R648" s="1"/>
    </row>
    <row r="649" spans="17:18">
      <c r="Q649" s="1"/>
      <c r="R649" s="1"/>
    </row>
    <row r="650" spans="17:18">
      <c r="Q650" s="1"/>
      <c r="R650" s="1"/>
    </row>
    <row r="651" spans="17:18">
      <c r="Q651" s="1"/>
      <c r="R651" s="1"/>
    </row>
    <row r="652" spans="17:18">
      <c r="Q652" s="1"/>
      <c r="R652" s="1"/>
    </row>
    <row r="653" spans="17:18">
      <c r="Q653" s="1"/>
      <c r="R653" s="1"/>
    </row>
    <row r="654" spans="17:18">
      <c r="Q654" s="1"/>
      <c r="R654" s="1"/>
    </row>
    <row r="655" spans="17:18">
      <c r="Q655" s="1"/>
      <c r="R655" s="1"/>
    </row>
    <row r="656" spans="17:18">
      <c r="Q656" s="1"/>
      <c r="R656" s="1"/>
    </row>
    <row r="657" spans="17:18">
      <c r="Q657" s="1"/>
      <c r="R657" s="1"/>
    </row>
    <row r="658" spans="17:18">
      <c r="Q658" s="1"/>
      <c r="R658" s="1"/>
    </row>
    <row r="659" spans="17:18">
      <c r="Q659" s="1"/>
      <c r="R659" s="1"/>
    </row>
    <row r="660" spans="17:18">
      <c r="Q660" s="1"/>
      <c r="R660" s="1"/>
    </row>
    <row r="661" spans="17:18">
      <c r="Q661" s="1"/>
      <c r="R661" s="1"/>
    </row>
    <row r="662" spans="17:18">
      <c r="Q662" s="1"/>
      <c r="R662" s="1"/>
    </row>
    <row r="663" spans="17:18">
      <c r="Q663" s="1"/>
      <c r="R663" s="1"/>
    </row>
    <row r="664" spans="17:18">
      <c r="Q664" s="1"/>
      <c r="R664" s="1"/>
    </row>
    <row r="665" spans="17:18">
      <c r="Q665" s="1"/>
      <c r="R665" s="1"/>
    </row>
    <row r="666" spans="17:18">
      <c r="Q666" s="1"/>
      <c r="R666" s="1"/>
    </row>
    <row r="667" spans="17:18">
      <c r="Q667" s="1"/>
      <c r="R667" s="1"/>
    </row>
    <row r="668" spans="17:18">
      <c r="Q668" s="1"/>
      <c r="R668" s="1"/>
    </row>
    <row r="669" spans="17:18">
      <c r="Q669" s="1"/>
      <c r="R669" s="1"/>
    </row>
    <row r="670" spans="17:18">
      <c r="Q670" s="1"/>
      <c r="R670" s="1"/>
    </row>
    <row r="671" spans="17:18">
      <c r="Q671" s="1"/>
      <c r="R671" s="1"/>
    </row>
    <row r="672" spans="17:18">
      <c r="Q672" s="1"/>
      <c r="R672" s="1"/>
    </row>
    <row r="673" spans="17:18">
      <c r="Q673" s="1"/>
      <c r="R673" s="1"/>
    </row>
    <row r="674" spans="17:18">
      <c r="Q674" s="1"/>
      <c r="R674" s="1"/>
    </row>
    <row r="675" spans="17:18">
      <c r="Q675" s="1"/>
      <c r="R675" s="1"/>
    </row>
    <row r="676" spans="17:18">
      <c r="Q676" s="1"/>
      <c r="R676" s="1"/>
    </row>
    <row r="677" spans="17:18">
      <c r="Q677" s="1"/>
      <c r="R677" s="1"/>
    </row>
    <row r="678" spans="17:18">
      <c r="Q678" s="1"/>
      <c r="R678" s="1"/>
    </row>
    <row r="679" spans="17:18">
      <c r="Q679" s="1"/>
      <c r="R679" s="1"/>
    </row>
    <row r="680" spans="17:18">
      <c r="Q680" s="1"/>
      <c r="R680" s="1"/>
    </row>
    <row r="681" spans="17:18">
      <c r="Q681" s="1"/>
      <c r="R681" s="1"/>
    </row>
    <row r="682" spans="17:18">
      <c r="Q682" s="1"/>
      <c r="R682" s="1"/>
    </row>
    <row r="683" spans="17:18">
      <c r="Q683" s="1"/>
      <c r="R683" s="1"/>
    </row>
    <row r="684" spans="17:18">
      <c r="Q684" s="1"/>
      <c r="R684" s="1"/>
    </row>
    <row r="685" spans="17:18">
      <c r="Q685" s="1"/>
      <c r="R685" s="1"/>
    </row>
    <row r="686" spans="17:18">
      <c r="Q686" s="1"/>
      <c r="R686" s="1"/>
    </row>
    <row r="687" spans="17:18">
      <c r="Q687" s="1"/>
      <c r="R687" s="1"/>
    </row>
    <row r="688" spans="17:18">
      <c r="Q688" s="1"/>
      <c r="R688" s="1"/>
    </row>
    <row r="689" spans="17:18">
      <c r="Q689" s="1"/>
      <c r="R689" s="1"/>
    </row>
    <row r="690" spans="17:18">
      <c r="Q690" s="1"/>
      <c r="R690" s="1"/>
    </row>
    <row r="691" spans="17:18">
      <c r="Q691" s="1"/>
      <c r="R691" s="1"/>
    </row>
    <row r="692" spans="17:18">
      <c r="Q692" s="1"/>
      <c r="R692" s="1"/>
    </row>
    <row r="693" spans="17:18">
      <c r="Q693" s="1"/>
      <c r="R693" s="1"/>
    </row>
    <row r="694" spans="17:18">
      <c r="Q694" s="1"/>
      <c r="R694" s="1"/>
    </row>
    <row r="695" spans="17:18">
      <c r="Q695" s="1"/>
      <c r="R695" s="1"/>
    </row>
    <row r="696" spans="17:18">
      <c r="Q696" s="1"/>
      <c r="R696" s="1"/>
    </row>
    <row r="697" spans="17:18">
      <c r="Q697" s="1"/>
      <c r="R697" s="1"/>
    </row>
    <row r="698" spans="17:18">
      <c r="Q698" s="1"/>
      <c r="R698" s="1"/>
    </row>
    <row r="699" spans="17:18">
      <c r="Q699" s="1"/>
      <c r="R699" s="1"/>
    </row>
    <row r="700" spans="17:18">
      <c r="Q700" s="1"/>
      <c r="R700" s="1"/>
    </row>
    <row r="701" spans="17:18">
      <c r="Q701" s="1"/>
      <c r="R701" s="1"/>
    </row>
    <row r="702" spans="17:18">
      <c r="Q702" s="1"/>
      <c r="R702" s="1"/>
    </row>
    <row r="703" spans="17:18">
      <c r="Q703" s="1"/>
      <c r="R703" s="1"/>
    </row>
    <row r="704" spans="17:18">
      <c r="Q704" s="1"/>
      <c r="R704" s="1"/>
    </row>
    <row r="705" spans="17:18">
      <c r="Q705" s="1"/>
      <c r="R705" s="1"/>
    </row>
    <row r="706" spans="17:18">
      <c r="Q706" s="1"/>
      <c r="R706" s="1"/>
    </row>
    <row r="707" spans="17:18">
      <c r="Q707" s="1"/>
      <c r="R707" s="1"/>
    </row>
    <row r="708" spans="17:18">
      <c r="Q708" s="1"/>
      <c r="R708" s="1"/>
    </row>
    <row r="709" spans="17:18">
      <c r="Q709" s="1"/>
      <c r="R709" s="1"/>
    </row>
    <row r="710" spans="17:18">
      <c r="Q710" s="1"/>
      <c r="R710" s="1"/>
    </row>
    <row r="711" spans="17:18">
      <c r="Q711" s="1"/>
      <c r="R711" s="1"/>
    </row>
    <row r="712" spans="17:18">
      <c r="Q712" s="1"/>
      <c r="R712" s="1"/>
    </row>
    <row r="713" spans="17:18">
      <c r="Q713" s="1"/>
      <c r="R713" s="1"/>
    </row>
    <row r="714" spans="17:18">
      <c r="Q714" s="1"/>
      <c r="R714" s="1"/>
    </row>
    <row r="715" spans="17:18">
      <c r="Q715" s="1"/>
      <c r="R715" s="1"/>
    </row>
    <row r="716" spans="17:18">
      <c r="Q716" s="1"/>
      <c r="R716" s="1"/>
    </row>
    <row r="717" spans="17:18">
      <c r="Q717" s="1"/>
      <c r="R717" s="1"/>
    </row>
    <row r="718" spans="17:18">
      <c r="Q718" s="1"/>
      <c r="R718" s="1"/>
    </row>
    <row r="719" spans="17:18">
      <c r="Q719" s="1"/>
      <c r="R719" s="1"/>
    </row>
    <row r="720" spans="17:18">
      <c r="Q720" s="1"/>
      <c r="R720" s="1"/>
    </row>
    <row r="721" spans="17:18">
      <c r="Q721" s="1"/>
      <c r="R721" s="1"/>
    </row>
    <row r="722" spans="17:18">
      <c r="Q722" s="1"/>
      <c r="R722" s="1"/>
    </row>
    <row r="723" spans="17:18">
      <c r="Q723" s="1"/>
      <c r="R723" s="1"/>
    </row>
    <row r="724" spans="17:18">
      <c r="Q724" s="1"/>
      <c r="R724" s="1"/>
    </row>
    <row r="725" spans="17:18">
      <c r="Q725" s="1"/>
      <c r="R725" s="1"/>
    </row>
    <row r="726" spans="17:18">
      <c r="Q726" s="1"/>
      <c r="R726" s="1"/>
    </row>
    <row r="727" spans="17:18">
      <c r="Q727" s="1"/>
      <c r="R727" s="1"/>
    </row>
    <row r="728" spans="17:18">
      <c r="Q728" s="1"/>
      <c r="R728" s="1"/>
    </row>
    <row r="729" spans="17:18">
      <c r="Q729" s="1"/>
      <c r="R729" s="1"/>
    </row>
    <row r="730" spans="17:18">
      <c r="Q730" s="1"/>
      <c r="R730" s="1"/>
    </row>
    <row r="731" spans="17:18">
      <c r="Q731" s="1"/>
      <c r="R731" s="1"/>
    </row>
    <row r="732" spans="17:18">
      <c r="Q732" s="1"/>
      <c r="R732" s="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1558</v>
      </c>
    </row>
    <row r="10" spans="8:16">
      <c r="H10" t="s">
        <v>1559</v>
      </c>
      <c r="O10" t="s">
        <v>1560</v>
      </c>
    </row>
    <row r="11" spans="8:16">
      <c r="O11" t="s">
        <v>1561</v>
      </c>
      <c r="P11" t="s">
        <v>1562</v>
      </c>
    </row>
    <row r="12" spans="8:16">
      <c r="H12" t="s">
        <v>1561</v>
      </c>
      <c r="I12" t="s">
        <v>1047</v>
      </c>
      <c r="J12" t="s">
        <v>1563</v>
      </c>
      <c r="K12" t="s">
        <v>1564</v>
      </c>
      <c r="O12" t="s">
        <v>1565</v>
      </c>
      <c r="P12" t="s">
        <v>1566</v>
      </c>
    </row>
    <row r="13" spans="8:16">
      <c r="H13" t="s">
        <v>1565</v>
      </c>
      <c r="I13" t="s">
        <v>1567</v>
      </c>
      <c r="J13" t="s">
        <v>1568</v>
      </c>
      <c r="K13" t="s">
        <v>1569</v>
      </c>
      <c r="O13" t="s">
        <v>1570</v>
      </c>
      <c r="P13" t="s">
        <v>1571</v>
      </c>
    </row>
    <row r="14" spans="8:16">
      <c r="H14" t="s">
        <v>1570</v>
      </c>
      <c r="I14" t="s">
        <v>1572</v>
      </c>
      <c r="J14" t="s">
        <v>1573</v>
      </c>
      <c r="K14" t="s">
        <v>1574</v>
      </c>
      <c r="O14" t="s">
        <v>1575</v>
      </c>
      <c r="P14" t="s">
        <v>1576</v>
      </c>
    </row>
    <row r="15" spans="8:16">
      <c r="H15" t="s">
        <v>1575</v>
      </c>
      <c r="I15" t="s">
        <v>1577</v>
      </c>
      <c r="J15" t="s">
        <v>719</v>
      </c>
      <c r="K15" t="s">
        <v>1578</v>
      </c>
      <c r="O15" t="s">
        <v>1579</v>
      </c>
      <c r="P15" t="s">
        <v>1580</v>
      </c>
    </row>
    <row r="16" spans="8:16">
      <c r="H16" t="s">
        <v>1579</v>
      </c>
      <c r="I16" t="s">
        <v>1581</v>
      </c>
      <c r="J16" t="s">
        <v>1582</v>
      </c>
      <c r="K16" t="s">
        <v>1583</v>
      </c>
      <c r="O16" t="s">
        <v>1584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1585</v>
      </c>
    </row>
    <row r="5" spans="10:18">
      <c r="J5" t="s">
        <v>1586</v>
      </c>
      <c r="R5" t="s">
        <v>1587</v>
      </c>
    </row>
    <row r="6" spans="10:18">
      <c r="J6" t="s">
        <v>1588</v>
      </c>
      <c r="K6" t="s">
        <v>1589</v>
      </c>
      <c r="R6" t="s">
        <v>1590</v>
      </c>
    </row>
    <row r="7" spans="10:18">
      <c r="J7" t="s">
        <v>1591</v>
      </c>
      <c r="K7" t="s">
        <v>1592</v>
      </c>
    </row>
    <row r="8" spans="10:18">
      <c r="J8" t="s">
        <v>1593</v>
      </c>
      <c r="K8" t="s">
        <v>1594</v>
      </c>
    </row>
    <row r="9" spans="10:18">
      <c r="J9" t="s">
        <v>1595</v>
      </c>
      <c r="K9">
        <v>0</v>
      </c>
    </row>
    <row r="17" spans="10:12">
      <c r="J17" t="s">
        <v>1596</v>
      </c>
    </row>
    <row r="19" spans="10:12">
      <c r="J19" t="s">
        <v>1597</v>
      </c>
    </row>
    <row r="20" spans="10:12">
      <c r="J20" t="s">
        <v>132</v>
      </c>
      <c r="K20" t="s">
        <v>319</v>
      </c>
      <c r="L20" t="s">
        <v>1598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1599</v>
      </c>
      <c r="K22">
        <v>0.3</v>
      </c>
      <c r="L22">
        <v>0.18</v>
      </c>
    </row>
    <row r="23" spans="10:12">
      <c r="J23" t="s">
        <v>1600</v>
      </c>
      <c r="K23">
        <v>0.2</v>
      </c>
      <c r="L23">
        <v>0.12</v>
      </c>
    </row>
    <row r="24" spans="10:12">
      <c r="J24" t="s">
        <v>1601</v>
      </c>
      <c r="K24">
        <v>0.1</v>
      </c>
      <c r="L24">
        <v>0.06</v>
      </c>
    </row>
    <row r="25" spans="10:12">
      <c r="J25" t="s">
        <v>1602</v>
      </c>
      <c r="K25">
        <v>1</v>
      </c>
      <c r="L25">
        <v>0.6</v>
      </c>
    </row>
    <row r="26" spans="10:12">
      <c r="J26" t="s">
        <v>1603</v>
      </c>
    </row>
    <row r="29" spans="10:12">
      <c r="J29" t="s">
        <v>1604</v>
      </c>
    </row>
    <row r="31" spans="10:12">
      <c r="J31" t="s">
        <v>1605</v>
      </c>
    </row>
    <row r="32" spans="10:12">
      <c r="J32" t="s">
        <v>132</v>
      </c>
      <c r="K32" t="s">
        <v>319</v>
      </c>
      <c r="L32" t="s">
        <v>1598</v>
      </c>
    </row>
    <row r="33" spans="10:12">
      <c r="J33" t="s">
        <v>1606</v>
      </c>
      <c r="K33">
        <v>0.4</v>
      </c>
      <c r="L33">
        <v>0.2</v>
      </c>
    </row>
    <row r="34" spans="10:12">
      <c r="J34" t="s">
        <v>1607</v>
      </c>
      <c r="K34">
        <v>0.3</v>
      </c>
      <c r="L34">
        <v>0.15</v>
      </c>
    </row>
    <row r="35" spans="10:12">
      <c r="J35" t="s">
        <v>1608</v>
      </c>
      <c r="K35">
        <v>0.2</v>
      </c>
      <c r="L35">
        <v>0.1</v>
      </c>
    </row>
    <row r="36" spans="10:12">
      <c r="J36" t="s">
        <v>1609</v>
      </c>
      <c r="K36">
        <v>0.1</v>
      </c>
      <c r="L36">
        <v>0.05</v>
      </c>
    </row>
    <row r="37" spans="10:12">
      <c r="J37" t="s">
        <v>1602</v>
      </c>
      <c r="K37">
        <v>1</v>
      </c>
      <c r="L37">
        <v>0.5</v>
      </c>
    </row>
    <row r="38" spans="10:12">
      <c r="J38" t="s">
        <v>1610</v>
      </c>
    </row>
    <row r="41" spans="10:12">
      <c r="J41" t="s">
        <v>1611</v>
      </c>
    </row>
    <row r="43" spans="10:12">
      <c r="J43" t="s">
        <v>1612</v>
      </c>
    </row>
    <row r="44" spans="10:12">
      <c r="J44" t="s">
        <v>1613</v>
      </c>
    </row>
    <row r="46" spans="10:12">
      <c r="J46" t="s">
        <v>132</v>
      </c>
      <c r="K46" t="s">
        <v>319</v>
      </c>
      <c r="L46" t="s">
        <v>128</v>
      </c>
    </row>
    <row r="47" spans="10:12">
      <c r="J47" t="s">
        <v>1614</v>
      </c>
      <c r="K47">
        <v>0.3</v>
      </c>
      <c r="L47" t="s">
        <v>1615</v>
      </c>
    </row>
    <row r="48" spans="10:12">
      <c r="J48" t="s">
        <v>1616</v>
      </c>
      <c r="K48">
        <v>0.2</v>
      </c>
      <c r="L48" t="s">
        <v>1617</v>
      </c>
    </row>
    <row r="49" spans="10:12">
      <c r="J49" t="s">
        <v>1618</v>
      </c>
      <c r="K49">
        <v>0.25</v>
      </c>
      <c r="L49" t="s">
        <v>1619</v>
      </c>
    </row>
    <row r="50" spans="10:12">
      <c r="J50" t="s">
        <v>333</v>
      </c>
      <c r="K50">
        <v>0.15</v>
      </c>
      <c r="L50" t="s">
        <v>1620</v>
      </c>
    </row>
    <row r="51" spans="10:12">
      <c r="J51" t="s">
        <v>328</v>
      </c>
      <c r="K51">
        <v>0.1</v>
      </c>
      <c r="L51" t="s">
        <v>1621</v>
      </c>
    </row>
    <row r="52" spans="10:12">
      <c r="J52" t="s">
        <v>161</v>
      </c>
      <c r="K52" t="s">
        <v>1622</v>
      </c>
      <c r="L52" t="s">
        <v>1623</v>
      </c>
    </row>
    <row r="53" spans="10:12">
      <c r="J53" t="s">
        <v>1624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B47"/>
    </sheetView>
  </sheetViews>
  <sheetFormatPr defaultColWidth="9" defaultRowHeight="13.5" outlineLevelCol="6"/>
  <sheetData>
    <row r="1" spans="2:7">
      <c r="B1" t="s">
        <v>1625</v>
      </c>
    </row>
    <row r="4" spans="2:7">
      <c r="G4" t="s">
        <v>1626</v>
      </c>
    </row>
    <row r="6" spans="2:7">
      <c r="G6" t="s">
        <v>1197</v>
      </c>
    </row>
    <row r="8" spans="2:7">
      <c r="G8" t="s">
        <v>1627</v>
      </c>
    </row>
    <row r="10" spans="2:7">
      <c r="G10" t="s">
        <v>1628</v>
      </c>
    </row>
    <row r="11" spans="2:7">
      <c r="G11" t="s">
        <v>1629</v>
      </c>
    </row>
    <row r="12" spans="2:7">
      <c r="G12" t="s">
        <v>1630</v>
      </c>
    </row>
    <row r="13" spans="2:7">
      <c r="G13" t="s">
        <v>1631</v>
      </c>
    </row>
    <row r="14" spans="2:7">
      <c r="G14" t="s">
        <v>1632</v>
      </c>
    </row>
    <row r="15" spans="2:7">
      <c r="G15" t="s">
        <v>1633</v>
      </c>
    </row>
    <row r="16" spans="2:7">
      <c r="G16" t="s">
        <v>1634</v>
      </c>
    </row>
    <row r="17" spans="7:7">
      <c r="G17" t="s">
        <v>1635</v>
      </c>
    </row>
    <row r="19" spans="7:7">
      <c r="G19" t="s">
        <v>1197</v>
      </c>
    </row>
    <row r="21" spans="7:7">
      <c r="G21" t="s">
        <v>1636</v>
      </c>
    </row>
    <row r="23" spans="7:7">
      <c r="G23" t="s">
        <v>1637</v>
      </c>
    </row>
    <row r="25" spans="7:7">
      <c r="G25" t="s">
        <v>1638</v>
      </c>
    </row>
    <row r="26" spans="7:7">
      <c r="G26" t="s">
        <v>1639</v>
      </c>
    </row>
    <row r="27" spans="7:7">
      <c r="G27" t="s">
        <v>1640</v>
      </c>
    </row>
    <row r="28" spans="7:7">
      <c r="G28" t="s">
        <v>1641</v>
      </c>
    </row>
    <row r="29" spans="7:7">
      <c r="G29" t="s">
        <v>1642</v>
      </c>
    </row>
    <row r="30" spans="7:7">
      <c r="G30" t="s">
        <v>1643</v>
      </c>
    </row>
    <row r="31" spans="7:7">
      <c r="G31" t="s">
        <v>1644</v>
      </c>
    </row>
    <row r="32" spans="7:7">
      <c r="G32" t="s">
        <v>1645</v>
      </c>
    </row>
    <row r="34" spans="7:7">
      <c r="G34" t="s">
        <v>1646</v>
      </c>
    </row>
    <row r="36" spans="7:7">
      <c r="G36" t="s">
        <v>1638</v>
      </c>
    </row>
    <row r="37" spans="7:7">
      <c r="G37" t="s">
        <v>1639</v>
      </c>
    </row>
    <row r="38" spans="7:7">
      <c r="G38" t="s">
        <v>1647</v>
      </c>
    </row>
    <row r="39" spans="7:7">
      <c r="G39" t="s">
        <v>1641</v>
      </c>
    </row>
    <row r="40" spans="7:7">
      <c r="G40" t="s">
        <v>1648</v>
      </c>
    </row>
    <row r="41" spans="7:7">
      <c r="G41" t="s">
        <v>1643</v>
      </c>
    </row>
    <row r="42" spans="7:7">
      <c r="G42" t="s">
        <v>1649</v>
      </c>
    </row>
    <row r="43" spans="7:7">
      <c r="G43" t="s">
        <v>1650</v>
      </c>
    </row>
    <row r="45" spans="7:7">
      <c r="G45" t="s">
        <v>1651</v>
      </c>
    </row>
    <row r="47" spans="7:7">
      <c r="G47" t="s">
        <v>1652</v>
      </c>
    </row>
    <row r="48" spans="7:7">
      <c r="G48" t="s">
        <v>1629</v>
      </c>
    </row>
    <row r="49" spans="7:7">
      <c r="G49" t="s">
        <v>1653</v>
      </c>
    </row>
    <row r="50" spans="7:7">
      <c r="G50" t="s">
        <v>1654</v>
      </c>
    </row>
    <row r="51" spans="7:7">
      <c r="G51" t="s">
        <v>1655</v>
      </c>
    </row>
    <row r="52" spans="7:7">
      <c r="G52" t="s">
        <v>1656</v>
      </c>
    </row>
    <row r="53" spans="7:7">
      <c r="G53" t="s">
        <v>1657</v>
      </c>
    </row>
    <row r="55" spans="7:7">
      <c r="G55" t="s">
        <v>1658</v>
      </c>
    </row>
    <row r="57" spans="7:7">
      <c r="G57" t="s">
        <v>1659</v>
      </c>
    </row>
    <row r="58" spans="7:7">
      <c r="G58" t="s">
        <v>1660</v>
      </c>
    </row>
    <row r="59" spans="7:7">
      <c r="G59" t="s">
        <v>1661</v>
      </c>
    </row>
    <row r="60" spans="7:7">
      <c r="G60" t="s">
        <v>1662</v>
      </c>
    </row>
    <row r="61" spans="7:7">
      <c r="G61" t="s">
        <v>1663</v>
      </c>
    </row>
    <row r="63" spans="7:7">
      <c r="G63" t="s">
        <v>1197</v>
      </c>
    </row>
    <row r="65" spans="7:7">
      <c r="G65" t="s">
        <v>1664</v>
      </c>
    </row>
    <row r="67" spans="7:7">
      <c r="G67" t="s">
        <v>1665</v>
      </c>
    </row>
    <row r="69" spans="7:7">
      <c r="G69" t="s">
        <v>1666</v>
      </c>
    </row>
    <row r="70" spans="7:7">
      <c r="G70" t="s">
        <v>1667</v>
      </c>
    </row>
    <row r="71" spans="7:7">
      <c r="G71" t="s">
        <v>1668</v>
      </c>
    </row>
    <row r="72" spans="7:7">
      <c r="G72" t="s">
        <v>1669</v>
      </c>
    </row>
    <row r="73" spans="7:7">
      <c r="G73" t="s">
        <v>1670</v>
      </c>
    </row>
    <row r="74" spans="7:7">
      <c r="G74" t="s">
        <v>1671</v>
      </c>
    </row>
    <row r="75" spans="7:7">
      <c r="G75" t="s">
        <v>1672</v>
      </c>
    </row>
    <row r="77" spans="7:7">
      <c r="G77" t="s">
        <v>1673</v>
      </c>
    </row>
    <row r="79" spans="7:7">
      <c r="G79" t="s">
        <v>1674</v>
      </c>
    </row>
    <row r="81" spans="7:7">
      <c r="G81" t="s">
        <v>1666</v>
      </c>
    </row>
    <row r="82" spans="7:7">
      <c r="G82" t="s">
        <v>1667</v>
      </c>
    </row>
    <row r="83" spans="7:7">
      <c r="G83" t="s">
        <v>1675</v>
      </c>
    </row>
    <row r="84" spans="7:7">
      <c r="G84" t="s">
        <v>1676</v>
      </c>
    </row>
    <row r="85" spans="7:7">
      <c r="G85" t="s">
        <v>1677</v>
      </c>
    </row>
    <row r="86" spans="7:7">
      <c r="G86" t="s">
        <v>1678</v>
      </c>
    </row>
    <row r="88" spans="7:7">
      <c r="G88" t="s">
        <v>1679</v>
      </c>
    </row>
    <row r="90" spans="7:7">
      <c r="G90" t="s">
        <v>1197</v>
      </c>
    </row>
    <row r="92" spans="7:7">
      <c r="G92" t="s">
        <v>1680</v>
      </c>
    </row>
    <row r="94" spans="7:7">
      <c r="G94" t="s">
        <v>1681</v>
      </c>
    </row>
    <row r="96" spans="7:7">
      <c r="G96" t="s">
        <v>1682</v>
      </c>
    </row>
    <row r="97" spans="7:7">
      <c r="G97" t="s">
        <v>1629</v>
      </c>
    </row>
    <row r="98" spans="7:7">
      <c r="G98" t="s">
        <v>1683</v>
      </c>
    </row>
    <row r="99" spans="7:7">
      <c r="G99" t="s">
        <v>1684</v>
      </c>
    </row>
    <row r="100" spans="7:7">
      <c r="G100" t="s">
        <v>1685</v>
      </c>
    </row>
    <row r="101" spans="7:7">
      <c r="G101" t="s">
        <v>1686</v>
      </c>
    </row>
    <row r="103" spans="7:7">
      <c r="G103" t="s">
        <v>1687</v>
      </c>
    </row>
    <row r="105" spans="7:7">
      <c r="G105" t="s">
        <v>1688</v>
      </c>
    </row>
    <row r="106" spans="7:7">
      <c r="G106" t="s">
        <v>1667</v>
      </c>
    </row>
    <row r="107" spans="7:7">
      <c r="G107" t="s">
        <v>1689</v>
      </c>
    </row>
    <row r="108" spans="7:7">
      <c r="G108" t="s">
        <v>1690</v>
      </c>
    </row>
    <row r="109" spans="7:7">
      <c r="G109" t="s">
        <v>1691</v>
      </c>
    </row>
    <row r="110" spans="7:7">
      <c r="G110" t="s">
        <v>1692</v>
      </c>
    </row>
    <row r="112" spans="7:7">
      <c r="G112" t="s">
        <v>1693</v>
      </c>
    </row>
    <row r="114" spans="7:7">
      <c r="G114" t="s">
        <v>1694</v>
      </c>
    </row>
    <row r="116" spans="7:7">
      <c r="G116" t="s">
        <v>1688</v>
      </c>
    </row>
    <row r="117" spans="7:7">
      <c r="G117" t="s">
        <v>1667</v>
      </c>
    </row>
    <row r="118" spans="7:7">
      <c r="G118" t="s">
        <v>1695</v>
      </c>
    </row>
    <row r="119" spans="7:7">
      <c r="G119" t="s">
        <v>1696</v>
      </c>
    </row>
    <row r="120" spans="7:7">
      <c r="G120" t="s">
        <v>1697</v>
      </c>
    </row>
    <row r="121" spans="7:7">
      <c r="G121" t="s">
        <v>1698</v>
      </c>
    </row>
    <row r="123" spans="7:7">
      <c r="G123" t="s">
        <v>1699</v>
      </c>
    </row>
    <row r="125" spans="7:7">
      <c r="G125" t="s">
        <v>1700</v>
      </c>
    </row>
    <row r="127" spans="7:7">
      <c r="G127" t="s">
        <v>1701</v>
      </c>
    </row>
    <row r="128" spans="7:7">
      <c r="G128" t="s">
        <v>1702</v>
      </c>
    </row>
    <row r="129" spans="7:7">
      <c r="G129" t="s">
        <v>1703</v>
      </c>
    </row>
    <row r="130" spans="7:7">
      <c r="G130" t="s">
        <v>1704</v>
      </c>
    </row>
    <row r="131" spans="7:7">
      <c r="G131" t="s">
        <v>1705</v>
      </c>
    </row>
    <row r="133" spans="7:7">
      <c r="G133" t="s">
        <v>1197</v>
      </c>
    </row>
    <row r="135" spans="7:7">
      <c r="G135" t="s">
        <v>1706</v>
      </c>
    </row>
    <row r="137" spans="7:7">
      <c r="G137" t="s">
        <v>1707</v>
      </c>
    </row>
    <row r="138" spans="7:7">
      <c r="G138" t="s">
        <v>1708</v>
      </c>
    </row>
    <row r="139" spans="7:7">
      <c r="G139" t="s">
        <v>1709</v>
      </c>
    </row>
    <row r="140" spans="7:7">
      <c r="G140" t="s">
        <v>1710</v>
      </c>
    </row>
    <row r="141" spans="7:7">
      <c r="G141" t="s">
        <v>1711</v>
      </c>
    </row>
    <row r="142" spans="7:7">
      <c r="G142" t="s">
        <v>1712</v>
      </c>
    </row>
    <row r="143" spans="7:7">
      <c r="G143" t="s">
        <v>1713</v>
      </c>
    </row>
    <row r="145" spans="7:7">
      <c r="G145" t="s">
        <v>1714</v>
      </c>
    </row>
    <row r="147" spans="7:7">
      <c r="G147" t="s">
        <v>1715</v>
      </c>
    </row>
    <row r="149" spans="7:7">
      <c r="G149" t="s">
        <v>1716</v>
      </c>
    </row>
    <row r="150" spans="7:7">
      <c r="G150" t="s">
        <v>1667</v>
      </c>
    </row>
    <row r="151" spans="7:7">
      <c r="G151" t="s">
        <v>1717</v>
      </c>
    </row>
    <row r="152" spans="7:7">
      <c r="G152" t="s">
        <v>1718</v>
      </c>
    </row>
    <row r="153" spans="7:7">
      <c r="G153" t="s">
        <v>1719</v>
      </c>
    </row>
    <row r="154" spans="7:7">
      <c r="G154" t="s">
        <v>1720</v>
      </c>
    </row>
    <row r="155" spans="7:7">
      <c r="G155" t="s">
        <v>1721</v>
      </c>
    </row>
    <row r="157" spans="7:7">
      <c r="G157" t="s">
        <v>1197</v>
      </c>
    </row>
    <row r="159" spans="7:7">
      <c r="G159" t="s">
        <v>1722</v>
      </c>
    </row>
    <row r="161" spans="7:7">
      <c r="G161" t="s">
        <v>1723</v>
      </c>
    </row>
    <row r="163" spans="7:7">
      <c r="G163" t="s">
        <v>1724</v>
      </c>
    </row>
    <row r="164" spans="7:7">
      <c r="G164" t="s">
        <v>1725</v>
      </c>
    </row>
    <row r="165" spans="7:7">
      <c r="G165" t="s">
        <v>1726</v>
      </c>
    </row>
    <row r="166" spans="7:7">
      <c r="G166" t="s">
        <v>1727</v>
      </c>
    </row>
    <row r="167" spans="7:7">
      <c r="G167" t="s">
        <v>1728</v>
      </c>
    </row>
    <row r="168" spans="7:7">
      <c r="G168" t="s">
        <v>1729</v>
      </c>
    </row>
    <row r="169" spans="7:7">
      <c r="G169" t="s">
        <v>1730</v>
      </c>
    </row>
    <row r="171" spans="7:7">
      <c r="G171" t="s">
        <v>1197</v>
      </c>
    </row>
    <row r="173" spans="7:7">
      <c r="G173" t="s">
        <v>1731</v>
      </c>
    </row>
    <row r="175" spans="7:7">
      <c r="G175" t="s">
        <v>1732</v>
      </c>
    </row>
    <row r="177" spans="7:7">
      <c r="G177" t="s">
        <v>1733</v>
      </c>
    </row>
    <row r="178" spans="7:7">
      <c r="G178" t="s">
        <v>1734</v>
      </c>
    </row>
    <row r="179" spans="7:7">
      <c r="G179" t="s">
        <v>1735</v>
      </c>
    </row>
    <row r="180" spans="7:7">
      <c r="G180" t="s">
        <v>1736</v>
      </c>
    </row>
    <row r="181" spans="7:7">
      <c r="G181" t="s">
        <v>1737</v>
      </c>
    </row>
    <row r="182" spans="7:7">
      <c r="G182" t="s">
        <v>1738</v>
      </c>
    </row>
    <row r="183" spans="7:7">
      <c r="G183" t="s">
        <v>1739</v>
      </c>
    </row>
    <row r="185" spans="7:7">
      <c r="G185" t="s">
        <v>1740</v>
      </c>
    </row>
    <row r="187" spans="7:7">
      <c r="G187" t="s">
        <v>1741</v>
      </c>
    </row>
    <row r="189" spans="7:7">
      <c r="G189" t="s">
        <v>1197</v>
      </c>
    </row>
    <row r="191" spans="7:7">
      <c r="G191" t="s">
        <v>1742</v>
      </c>
    </row>
    <row r="193" spans="7:7">
      <c r="G193" t="s">
        <v>1743</v>
      </c>
    </row>
    <row r="195" spans="7:7">
      <c r="G195" t="s">
        <v>1744</v>
      </c>
    </row>
    <row r="196" spans="7:7">
      <c r="G196" t="s">
        <v>1734</v>
      </c>
    </row>
    <row r="197" spans="7:7">
      <c r="G197" t="s">
        <v>1745</v>
      </c>
    </row>
    <row r="198" spans="7:7">
      <c r="G198" t="s">
        <v>1746</v>
      </c>
    </row>
    <row r="199" spans="7:7">
      <c r="G199" t="s">
        <v>1747</v>
      </c>
    </row>
    <row r="200" spans="7:7">
      <c r="G200" t="s">
        <v>1748</v>
      </c>
    </row>
    <row r="201" spans="7:7">
      <c r="G201" t="s">
        <v>1749</v>
      </c>
    </row>
    <row r="203" spans="7:7">
      <c r="G203" t="s">
        <v>1750</v>
      </c>
    </row>
    <row r="205" spans="7:7">
      <c r="G205" t="s">
        <v>1751</v>
      </c>
    </row>
    <row r="207" spans="7:7">
      <c r="G207" t="s">
        <v>1197</v>
      </c>
    </row>
    <row r="209" spans="7:7">
      <c r="G209" t="s">
        <v>1752</v>
      </c>
    </row>
    <row r="211" spans="7:7">
      <c r="G211" t="s">
        <v>1753</v>
      </c>
    </row>
    <row r="213" spans="7:7">
      <c r="G213" t="s">
        <v>1754</v>
      </c>
    </row>
    <row r="214" spans="7:7">
      <c r="G214" t="s">
        <v>1734</v>
      </c>
    </row>
    <row r="215" spans="7:7">
      <c r="G215" t="s">
        <v>1755</v>
      </c>
    </row>
    <row r="216" spans="7:7">
      <c r="G216" t="s">
        <v>1756</v>
      </c>
    </row>
    <row r="217" spans="7:7">
      <c r="G217" t="s">
        <v>1757</v>
      </c>
    </row>
    <row r="218" spans="7:7">
      <c r="G218" t="s">
        <v>1758</v>
      </c>
    </row>
    <row r="219" spans="7:7">
      <c r="G219" t="s">
        <v>1759</v>
      </c>
    </row>
    <row r="221" spans="7:7">
      <c r="G221" t="s">
        <v>1760</v>
      </c>
    </row>
    <row r="223" spans="7:7">
      <c r="G223" t="s">
        <v>1761</v>
      </c>
    </row>
    <row r="225" spans="7:7">
      <c r="G225" t="s">
        <v>1197</v>
      </c>
    </row>
    <row r="227" spans="7:7">
      <c r="G227" t="s">
        <v>1762</v>
      </c>
    </row>
    <row r="229" spans="7:7">
      <c r="G229" t="s">
        <v>1763</v>
      </c>
    </row>
    <row r="231" spans="7:7">
      <c r="G231" t="s">
        <v>1764</v>
      </c>
    </row>
    <row r="232" spans="7:7">
      <c r="G232" t="s">
        <v>1734</v>
      </c>
    </row>
    <row r="233" spans="7:7">
      <c r="G233" t="s">
        <v>1765</v>
      </c>
    </row>
    <row r="234" spans="7:7">
      <c r="G234" t="s">
        <v>1766</v>
      </c>
    </row>
    <row r="235" spans="7:7">
      <c r="G235" t="s">
        <v>1767</v>
      </c>
    </row>
    <row r="236" spans="7:7">
      <c r="G236" t="s">
        <v>1768</v>
      </c>
    </row>
    <row r="237" spans="7:7">
      <c r="G237" t="s">
        <v>1769</v>
      </c>
    </row>
    <row r="239" spans="7:7">
      <c r="G239" t="s">
        <v>1770</v>
      </c>
    </row>
    <row r="241" spans="7:7">
      <c r="G241" t="s">
        <v>1771</v>
      </c>
    </row>
    <row r="243" spans="7:7">
      <c r="G243" t="s">
        <v>1197</v>
      </c>
    </row>
    <row r="245" spans="7:7">
      <c r="G245" t="s">
        <v>1772</v>
      </c>
    </row>
    <row r="247" spans="7:7">
      <c r="G247" t="s">
        <v>1773</v>
      </c>
    </row>
    <row r="249" spans="7:7">
      <c r="G249" t="s">
        <v>1774</v>
      </c>
    </row>
    <row r="250" spans="7:7">
      <c r="G250" t="s">
        <v>1734</v>
      </c>
    </row>
    <row r="251" spans="7:7">
      <c r="G251" t="s">
        <v>1745</v>
      </c>
    </row>
    <row r="252" spans="7:7">
      <c r="G252" t="s">
        <v>1746</v>
      </c>
    </row>
    <row r="253" spans="7:7">
      <c r="G253" t="s">
        <v>1747</v>
      </c>
    </row>
    <row r="254" spans="7:7">
      <c r="G254" t="s">
        <v>1748</v>
      </c>
    </row>
    <row r="255" spans="7:7">
      <c r="G255" t="s">
        <v>1749</v>
      </c>
    </row>
    <row r="257" spans="7:7">
      <c r="G257" t="s">
        <v>1775</v>
      </c>
    </row>
    <row r="259" spans="7:7">
      <c r="G259" t="s">
        <v>1776</v>
      </c>
    </row>
    <row r="261" spans="7:7">
      <c r="G261" t="s">
        <v>1197</v>
      </c>
    </row>
    <row r="263" spans="7:7">
      <c r="G263" t="s">
        <v>1777</v>
      </c>
    </row>
    <row r="265" spans="7:7">
      <c r="G265" t="s">
        <v>1778</v>
      </c>
    </row>
    <row r="267" spans="7:7">
      <c r="G267" t="s">
        <v>1779</v>
      </c>
    </row>
    <row r="268" spans="7:7">
      <c r="G268" t="s">
        <v>1734</v>
      </c>
    </row>
    <row r="269" spans="7:7">
      <c r="G269" t="s">
        <v>1780</v>
      </c>
    </row>
    <row r="270" spans="7:7">
      <c r="G270" t="s">
        <v>1781</v>
      </c>
    </row>
    <row r="271" spans="7:7">
      <c r="G271" t="s">
        <v>1782</v>
      </c>
    </row>
    <row r="272" spans="7:7">
      <c r="G272" t="s">
        <v>1783</v>
      </c>
    </row>
    <row r="273" spans="7:7">
      <c r="G273" t="s">
        <v>1784</v>
      </c>
    </row>
    <row r="275" spans="7:7">
      <c r="G275" t="s">
        <v>1785</v>
      </c>
    </row>
    <row r="277" spans="7:7">
      <c r="G277" t="s">
        <v>1786</v>
      </c>
    </row>
    <row r="279" spans="7:7">
      <c r="G279" t="s">
        <v>1197</v>
      </c>
    </row>
    <row r="281" spans="7:7">
      <c r="G281" t="s">
        <v>1787</v>
      </c>
    </row>
    <row r="283" spans="7:7">
      <c r="G283" t="s">
        <v>1788</v>
      </c>
    </row>
    <row r="285" spans="7:7">
      <c r="G285" t="s">
        <v>1733</v>
      </c>
    </row>
    <row r="286" spans="7:7">
      <c r="G286" t="s">
        <v>1734</v>
      </c>
    </row>
    <row r="287" spans="7:7">
      <c r="G287" t="s">
        <v>1735</v>
      </c>
    </row>
    <row r="288" spans="7:7">
      <c r="G288" t="s">
        <v>1736</v>
      </c>
    </row>
    <row r="289" spans="7:7">
      <c r="G289" t="s">
        <v>1737</v>
      </c>
    </row>
    <row r="290" spans="7:7">
      <c r="G290" t="s">
        <v>1738</v>
      </c>
    </row>
    <row r="291" spans="7:7">
      <c r="G291" t="s">
        <v>1739</v>
      </c>
    </row>
    <row r="293" spans="7:7">
      <c r="G293" t="s">
        <v>1789</v>
      </c>
    </row>
    <row r="295" spans="7:7">
      <c r="G295" t="s">
        <v>1790</v>
      </c>
    </row>
    <row r="297" spans="7:7">
      <c r="G297" t="s">
        <v>1791</v>
      </c>
    </row>
    <row r="298" spans="7:7">
      <c r="G298" t="s">
        <v>1667</v>
      </c>
    </row>
    <row r="299" spans="7:7">
      <c r="G299" t="s">
        <v>1792</v>
      </c>
    </row>
    <row r="300" spans="7:7">
      <c r="G300" t="s">
        <v>1793</v>
      </c>
    </row>
    <row r="301" spans="7:7">
      <c r="G301" t="s">
        <v>1794</v>
      </c>
    </row>
    <row r="302" spans="7:7">
      <c r="G302" t="s">
        <v>1795</v>
      </c>
    </row>
    <row r="303" spans="7:7">
      <c r="G303" t="s">
        <v>1796</v>
      </c>
    </row>
    <row r="305" spans="7:7">
      <c r="G305" t="s">
        <v>1797</v>
      </c>
    </row>
    <row r="307" spans="7:7">
      <c r="G307" t="s">
        <v>1197</v>
      </c>
    </row>
    <row r="309" spans="7:7">
      <c r="G309" t="s">
        <v>1798</v>
      </c>
    </row>
    <row r="311" spans="7:7">
      <c r="G311" t="s">
        <v>1799</v>
      </c>
    </row>
    <row r="313" spans="7:7">
      <c r="G313" t="s">
        <v>1800</v>
      </c>
    </row>
    <row r="314" spans="7:7">
      <c r="G314" t="s">
        <v>1734</v>
      </c>
    </row>
    <row r="315" spans="7:7">
      <c r="G315" t="s">
        <v>1755</v>
      </c>
    </row>
    <row r="316" spans="7:7">
      <c r="G316" t="s">
        <v>1756</v>
      </c>
    </row>
    <row r="317" spans="7:7">
      <c r="G317" t="s">
        <v>1757</v>
      </c>
    </row>
    <row r="318" spans="7:7">
      <c r="G318" t="s">
        <v>1758</v>
      </c>
    </row>
    <row r="319" spans="7:7">
      <c r="G319" t="s">
        <v>1759</v>
      </c>
    </row>
    <row r="321" spans="7:7">
      <c r="G321" t="s">
        <v>1801</v>
      </c>
    </row>
    <row r="323" spans="7:7">
      <c r="G323" t="s">
        <v>1802</v>
      </c>
    </row>
    <row r="325" spans="7:7">
      <c r="G325" t="s">
        <v>1197</v>
      </c>
    </row>
    <row r="327" spans="7:7">
      <c r="G327" t="s">
        <v>1803</v>
      </c>
    </row>
    <row r="329" spans="7:7">
      <c r="G329" t="s">
        <v>1804</v>
      </c>
    </row>
    <row r="331" spans="7:7">
      <c r="G331" t="s">
        <v>1805</v>
      </c>
    </row>
    <row r="332" spans="7:7">
      <c r="G332" t="s">
        <v>1725</v>
      </c>
    </row>
    <row r="333" spans="7:7">
      <c r="G333" t="s">
        <v>1806</v>
      </c>
    </row>
    <row r="334" spans="7:7">
      <c r="G334" t="s">
        <v>1807</v>
      </c>
    </row>
    <row r="335" spans="7:7">
      <c r="G335" t="s">
        <v>1808</v>
      </c>
    </row>
    <row r="336" spans="7:7">
      <c r="G336" t="s">
        <v>1809</v>
      </c>
    </row>
    <row r="337" spans="7:7">
      <c r="G337" t="s">
        <v>1810</v>
      </c>
    </row>
    <row r="339" spans="7:7">
      <c r="G339" t="s">
        <v>1197</v>
      </c>
    </row>
    <row r="341" spans="7:7">
      <c r="G341" t="s">
        <v>1811</v>
      </c>
    </row>
    <row r="343" spans="7:7">
      <c r="G343" t="s">
        <v>1812</v>
      </c>
    </row>
    <row r="345" spans="7:7">
      <c r="G345" t="s">
        <v>1813</v>
      </c>
    </row>
    <row r="346" spans="7:7">
      <c r="G346" t="s">
        <v>1734</v>
      </c>
    </row>
    <row r="347" spans="7:7">
      <c r="G347" t="s">
        <v>1814</v>
      </c>
    </row>
    <row r="348" spans="7:7">
      <c r="G348" t="s">
        <v>1815</v>
      </c>
    </row>
    <row r="349" spans="7:7">
      <c r="G349" t="s">
        <v>1816</v>
      </c>
    </row>
    <row r="350" spans="7:7">
      <c r="G350" t="s">
        <v>1817</v>
      </c>
    </row>
    <row r="351" spans="7:7">
      <c r="G351" t="s">
        <v>1818</v>
      </c>
    </row>
    <row r="353" spans="7:7">
      <c r="G353" t="s">
        <v>1819</v>
      </c>
    </row>
    <row r="355" spans="7:7">
      <c r="G355" t="s">
        <v>1820</v>
      </c>
    </row>
    <row r="357" spans="7:7">
      <c r="G357" t="s">
        <v>1197</v>
      </c>
    </row>
    <row r="359" spans="7:7">
      <c r="G359" t="s">
        <v>1821</v>
      </c>
    </row>
    <row r="361" spans="7:7">
      <c r="G361" t="s">
        <v>1822</v>
      </c>
    </row>
    <row r="363" spans="7:7">
      <c r="G363" t="s">
        <v>1823</v>
      </c>
    </row>
    <row r="364" spans="7:7">
      <c r="G364" t="s">
        <v>1734</v>
      </c>
    </row>
    <row r="365" spans="7:7">
      <c r="G365" t="s">
        <v>1824</v>
      </c>
    </row>
    <row r="366" spans="7:7">
      <c r="G366" t="s">
        <v>1825</v>
      </c>
    </row>
    <row r="367" spans="7:7">
      <c r="G367" t="s">
        <v>1826</v>
      </c>
    </row>
    <row r="368" spans="7:7">
      <c r="G368" t="s">
        <v>1827</v>
      </c>
    </row>
    <row r="369" spans="7:7">
      <c r="G369" t="s">
        <v>1818</v>
      </c>
    </row>
    <row r="371" spans="7:7">
      <c r="G371" t="s">
        <v>1828</v>
      </c>
    </row>
    <row r="373" spans="7:7">
      <c r="G373" t="s">
        <v>1829</v>
      </c>
    </row>
    <row r="375" spans="7:7">
      <c r="G375" t="s">
        <v>1197</v>
      </c>
    </row>
    <row r="377" spans="7:7">
      <c r="G377" t="s">
        <v>1830</v>
      </c>
    </row>
    <row r="379" spans="7:7">
      <c r="G379" t="s">
        <v>1831</v>
      </c>
    </row>
    <row r="381" spans="7:7">
      <c r="G381" t="s">
        <v>1832</v>
      </c>
    </row>
    <row r="382" spans="7:7">
      <c r="G382" t="s">
        <v>1734</v>
      </c>
    </row>
    <row r="383" spans="7:7">
      <c r="G383" t="s">
        <v>1814</v>
      </c>
    </row>
    <row r="384" spans="7:7">
      <c r="G384" t="s">
        <v>1815</v>
      </c>
    </row>
    <row r="385" spans="7:7">
      <c r="G385" t="s">
        <v>1816</v>
      </c>
    </row>
    <row r="386" spans="7:7">
      <c r="G386" t="s">
        <v>1817</v>
      </c>
    </row>
    <row r="387" spans="7:7">
      <c r="G387" t="s">
        <v>1818</v>
      </c>
    </row>
    <row r="389" spans="7:7">
      <c r="G389" t="s">
        <v>1833</v>
      </c>
    </row>
    <row r="391" spans="7:7">
      <c r="G391" t="s">
        <v>1834</v>
      </c>
    </row>
    <row r="393" spans="7:7">
      <c r="G393" t="s">
        <v>1197</v>
      </c>
    </row>
    <row r="395" spans="7:7">
      <c r="G395" t="s">
        <v>1835</v>
      </c>
    </row>
    <row r="397" spans="7:7">
      <c r="G397" t="s">
        <v>1836</v>
      </c>
    </row>
    <row r="399" spans="7:7">
      <c r="G399" t="s">
        <v>1837</v>
      </c>
    </row>
    <row r="400" spans="7:7">
      <c r="G400" t="s">
        <v>1734</v>
      </c>
    </row>
    <row r="401" spans="7:7">
      <c r="G401" t="s">
        <v>1814</v>
      </c>
    </row>
    <row r="402" spans="7:7">
      <c r="G402" t="s">
        <v>1815</v>
      </c>
    </row>
    <row r="403" spans="7:7">
      <c r="G403" t="s">
        <v>1816</v>
      </c>
    </row>
    <row r="404" spans="7:7">
      <c r="G404" t="s">
        <v>1817</v>
      </c>
    </row>
    <row r="405" spans="7:7">
      <c r="G405" t="s">
        <v>1818</v>
      </c>
    </row>
    <row r="407" spans="7:7">
      <c r="G407" t="s">
        <v>1838</v>
      </c>
    </row>
    <row r="409" spans="7:7">
      <c r="G409" t="s">
        <v>1839</v>
      </c>
    </row>
    <row r="411" spans="7:7">
      <c r="G411" t="s">
        <v>1197</v>
      </c>
    </row>
    <row r="413" spans="7:7">
      <c r="G413" t="s">
        <v>1840</v>
      </c>
    </row>
    <row r="415" spans="7:7">
      <c r="G415" t="s">
        <v>1841</v>
      </c>
    </row>
    <row r="417" spans="7:7">
      <c r="G417" t="s">
        <v>1842</v>
      </c>
    </row>
    <row r="418" spans="7:7">
      <c r="G418" t="s">
        <v>1734</v>
      </c>
    </row>
    <row r="419" spans="7:7">
      <c r="G419" t="s">
        <v>1843</v>
      </c>
    </row>
    <row r="420" spans="7:7">
      <c r="G420" t="s">
        <v>1844</v>
      </c>
    </row>
    <row r="421" spans="7:7">
      <c r="G421" t="s">
        <v>1845</v>
      </c>
    </row>
    <row r="422" spans="7:7">
      <c r="G422" t="s">
        <v>1846</v>
      </c>
    </row>
    <row r="423" spans="7:7">
      <c r="G423" t="s">
        <v>1847</v>
      </c>
    </row>
    <row r="425" spans="7:7">
      <c r="G425" t="s">
        <v>1848</v>
      </c>
    </row>
    <row r="427" spans="7:7">
      <c r="G427" t="s">
        <v>1849</v>
      </c>
    </row>
    <row r="429" spans="7:7">
      <c r="G429" t="s">
        <v>1197</v>
      </c>
    </row>
    <row r="431" spans="7:7">
      <c r="G431" t="s">
        <v>1850</v>
      </c>
    </row>
    <row r="433" spans="7:7">
      <c r="G433" t="s">
        <v>1851</v>
      </c>
    </row>
    <row r="435" spans="7:7">
      <c r="G435" t="s">
        <v>1852</v>
      </c>
    </row>
    <row r="436" spans="7:7">
      <c r="G436" t="s">
        <v>1734</v>
      </c>
    </row>
    <row r="437" spans="7:7">
      <c r="G437" t="s">
        <v>1814</v>
      </c>
    </row>
    <row r="438" spans="7:7">
      <c r="G438" t="s">
        <v>1815</v>
      </c>
    </row>
    <row r="439" spans="7:7">
      <c r="G439" t="s">
        <v>1816</v>
      </c>
    </row>
    <row r="440" spans="7:7">
      <c r="G440" t="s">
        <v>1817</v>
      </c>
    </row>
    <row r="441" spans="7:7">
      <c r="G441" t="s">
        <v>1818</v>
      </c>
    </row>
    <row r="443" spans="7:7">
      <c r="G443" t="s">
        <v>1853</v>
      </c>
    </row>
    <row r="445" spans="7:7">
      <c r="G445" t="s">
        <v>1854</v>
      </c>
    </row>
    <row r="447" spans="7:7">
      <c r="G447" t="s">
        <v>1197</v>
      </c>
    </row>
    <row r="449" spans="7:7">
      <c r="G449" t="s">
        <v>1855</v>
      </c>
    </row>
    <row r="451" spans="7:7">
      <c r="G451" t="s">
        <v>1856</v>
      </c>
    </row>
    <row r="453" spans="7:7">
      <c r="G453" t="s">
        <v>1832</v>
      </c>
    </row>
    <row r="454" spans="7:7">
      <c r="G454" t="s">
        <v>1734</v>
      </c>
    </row>
    <row r="455" spans="7:7">
      <c r="G455" t="s">
        <v>1814</v>
      </c>
    </row>
    <row r="456" spans="7:7">
      <c r="G456" t="s">
        <v>1815</v>
      </c>
    </row>
    <row r="457" spans="7:7">
      <c r="G457" t="s">
        <v>1816</v>
      </c>
    </row>
    <row r="458" spans="7:7">
      <c r="G458" t="s">
        <v>1817</v>
      </c>
    </row>
    <row r="459" spans="7:7">
      <c r="G459" t="s">
        <v>1818</v>
      </c>
    </row>
    <row r="461" spans="7:7">
      <c r="G461" t="s">
        <v>1857</v>
      </c>
    </row>
    <row r="463" spans="7:7">
      <c r="G463" t="s">
        <v>1858</v>
      </c>
    </row>
    <row r="465" spans="7:7">
      <c r="G465" t="s">
        <v>1197</v>
      </c>
    </row>
    <row r="467" spans="7:7">
      <c r="G467" t="s">
        <v>1859</v>
      </c>
    </row>
    <row r="469" spans="7:7">
      <c r="G469" t="s">
        <v>1860</v>
      </c>
    </row>
    <row r="471" spans="7:7">
      <c r="G471" t="s">
        <v>1861</v>
      </c>
    </row>
    <row r="472" spans="7:7">
      <c r="G472" t="s">
        <v>1734</v>
      </c>
    </row>
    <row r="473" spans="7:7">
      <c r="G473" t="s">
        <v>1814</v>
      </c>
    </row>
    <row r="474" spans="7:7">
      <c r="G474" t="s">
        <v>1815</v>
      </c>
    </row>
    <row r="475" spans="7:7">
      <c r="G475" t="s">
        <v>1816</v>
      </c>
    </row>
    <row r="476" spans="7:7">
      <c r="G476" t="s">
        <v>1817</v>
      </c>
    </row>
    <row r="477" spans="7:7">
      <c r="G477" t="s">
        <v>1818</v>
      </c>
    </row>
    <row r="479" spans="7:7">
      <c r="G479" t="s">
        <v>1862</v>
      </c>
    </row>
    <row r="481" spans="7:7">
      <c r="G481" t="s">
        <v>1863</v>
      </c>
    </row>
    <row r="483" spans="7:7">
      <c r="G483" t="s">
        <v>1197</v>
      </c>
    </row>
    <row r="485" spans="7:7">
      <c r="G485" t="s">
        <v>1864</v>
      </c>
    </row>
    <row r="487" spans="7:7">
      <c r="G487" t="s">
        <v>1865</v>
      </c>
    </row>
    <row r="489" spans="7:7">
      <c r="G489" t="s">
        <v>1866</v>
      </c>
    </row>
    <row r="490" spans="7:7">
      <c r="G490" t="s">
        <v>1867</v>
      </c>
    </row>
    <row r="491" spans="7:7">
      <c r="G491" t="s">
        <v>1868</v>
      </c>
    </row>
    <row r="492" spans="7:7">
      <c r="G492" t="s">
        <v>1869</v>
      </c>
    </row>
    <row r="493" spans="7:7">
      <c r="G493" t="s">
        <v>1870</v>
      </c>
    </row>
    <row r="494" spans="7:7">
      <c r="G494" t="s">
        <v>1871</v>
      </c>
    </row>
    <row r="495" spans="7:7">
      <c r="G495" t="s">
        <v>1872</v>
      </c>
    </row>
    <row r="496" spans="7:7">
      <c r="G496" t="s">
        <v>1873</v>
      </c>
    </row>
    <row r="497" spans="7:7">
      <c r="G497" t="s">
        <v>1874</v>
      </c>
    </row>
    <row r="498" spans="7:7">
      <c r="G498" t="s">
        <v>1875</v>
      </c>
    </row>
    <row r="499" spans="7:7">
      <c r="G499" t="s">
        <v>1876</v>
      </c>
    </row>
    <row r="500" spans="7:7">
      <c r="G500" t="s">
        <v>1877</v>
      </c>
    </row>
    <row r="501" spans="7:7">
      <c r="G501" t="s">
        <v>1878</v>
      </c>
    </row>
    <row r="503" spans="7:7">
      <c r="G503" t="s">
        <v>1879</v>
      </c>
    </row>
    <row r="505" spans="7:7">
      <c r="G505" t="s">
        <v>1880</v>
      </c>
    </row>
    <row r="507" spans="7:7">
      <c r="G507" t="s">
        <v>1881</v>
      </c>
    </row>
    <row r="508" spans="7:7">
      <c r="G508" t="s">
        <v>1867</v>
      </c>
    </row>
    <row r="509" spans="7:7">
      <c r="G509" t="s">
        <v>1882</v>
      </c>
    </row>
    <row r="510" spans="7:7">
      <c r="G510" t="s">
        <v>1883</v>
      </c>
    </row>
    <row r="511" spans="7:7">
      <c r="G511" t="s">
        <v>1884</v>
      </c>
    </row>
    <row r="512" spans="7:7">
      <c r="G512" t="s">
        <v>1885</v>
      </c>
    </row>
    <row r="513" spans="7:7">
      <c r="G513" t="s">
        <v>1886</v>
      </c>
    </row>
    <row r="514" spans="7:7">
      <c r="G514" t="s">
        <v>1887</v>
      </c>
    </row>
    <row r="516" spans="7:7">
      <c r="G516" t="s">
        <v>1197</v>
      </c>
    </row>
    <row r="518" spans="7:7">
      <c r="G518" t="s">
        <v>1888</v>
      </c>
    </row>
    <row r="520" spans="7:7">
      <c r="G520" t="s">
        <v>1889</v>
      </c>
    </row>
    <row r="521" spans="7:7">
      <c r="G521" t="s">
        <v>1639</v>
      </c>
    </row>
    <row r="522" spans="7:7">
      <c r="G522" t="s">
        <v>1890</v>
      </c>
    </row>
    <row r="523" spans="7:7">
      <c r="G523" t="s">
        <v>1891</v>
      </c>
    </row>
    <row r="524" spans="7:7">
      <c r="G524" t="s">
        <v>1892</v>
      </c>
    </row>
    <row r="525" spans="7:7">
      <c r="G525" t="s">
        <v>1893</v>
      </c>
    </row>
    <row r="526" spans="7:7">
      <c r="G526" t="s">
        <v>1894</v>
      </c>
    </row>
    <row r="528" spans="7:7">
      <c r="G528" t="s">
        <v>1895</v>
      </c>
    </row>
    <row r="530" spans="7:7">
      <c r="G530" t="s">
        <v>1197</v>
      </c>
    </row>
    <row r="532" spans="7:7">
      <c r="G532" t="s">
        <v>1896</v>
      </c>
    </row>
    <row r="534" spans="7:7">
      <c r="G534" t="s">
        <v>1897</v>
      </c>
    </row>
    <row r="535" spans="7:7">
      <c r="G535" t="s">
        <v>1898</v>
      </c>
    </row>
    <row r="536" spans="7:7">
      <c r="G536" t="s">
        <v>1899</v>
      </c>
    </row>
    <row r="537" spans="7:7">
      <c r="G537" t="s">
        <v>1900</v>
      </c>
    </row>
    <row r="538" spans="7:7">
      <c r="G538" t="s">
        <v>1901</v>
      </c>
    </row>
    <row r="539" spans="7:7">
      <c r="G539" t="s">
        <v>1902</v>
      </c>
    </row>
    <row r="540" spans="7:7">
      <c r="G540" t="s">
        <v>1903</v>
      </c>
    </row>
    <row r="541" spans="7:7">
      <c r="G541" t="s">
        <v>1904</v>
      </c>
    </row>
    <row r="543" spans="7:7">
      <c r="G543" t="s">
        <v>1197</v>
      </c>
    </row>
    <row r="545" spans="7:7">
      <c r="G545" t="s">
        <v>1905</v>
      </c>
    </row>
    <row r="547" spans="7:7">
      <c r="G547" t="s">
        <v>1906</v>
      </c>
    </row>
    <row r="548" spans="7:7">
      <c r="G548" t="s">
        <v>1667</v>
      </c>
    </row>
    <row r="549" spans="7:7">
      <c r="G549" t="s">
        <v>1907</v>
      </c>
    </row>
    <row r="550" spans="7:7">
      <c r="G550" t="s">
        <v>1908</v>
      </c>
    </row>
    <row r="551" spans="7:7">
      <c r="G551" t="s">
        <v>1909</v>
      </c>
    </row>
    <row r="552" spans="7:7">
      <c r="G552" t="s">
        <v>1910</v>
      </c>
    </row>
    <row r="553" spans="7:7">
      <c r="G553" t="s">
        <v>1911</v>
      </c>
    </row>
    <row r="554" spans="7:7">
      <c r="G554" t="s">
        <v>1912</v>
      </c>
    </row>
    <row r="555" spans="7:7">
      <c r="G555" t="s">
        <v>1913</v>
      </c>
    </row>
    <row r="556" spans="7:7">
      <c r="G556" t="s">
        <v>1914</v>
      </c>
    </row>
    <row r="557" spans="7:7">
      <c r="G557" t="s">
        <v>1915</v>
      </c>
    </row>
    <row r="558" spans="7:7">
      <c r="G558" t="s">
        <v>1916</v>
      </c>
    </row>
    <row r="559" spans="7:7">
      <c r="G559" t="s">
        <v>1917</v>
      </c>
    </row>
    <row r="561" spans="7:7">
      <c r="G561" t="s">
        <v>1197</v>
      </c>
    </row>
    <row r="563" spans="7:7">
      <c r="G563" t="s">
        <v>1918</v>
      </c>
    </row>
    <row r="565" spans="7:7">
      <c r="G565" t="s">
        <v>1919</v>
      </c>
    </row>
    <row r="566" spans="7:7">
      <c r="G566" t="s">
        <v>1920</v>
      </c>
    </row>
    <row r="567" spans="7:7">
      <c r="G567" t="s">
        <v>1921</v>
      </c>
    </row>
    <row r="568" spans="7:7">
      <c r="G568" t="s">
        <v>1922</v>
      </c>
    </row>
    <row r="569" spans="7:7">
      <c r="G569" t="s">
        <v>1923</v>
      </c>
    </row>
    <row r="570" spans="7:7">
      <c r="G570" t="s">
        <v>1924</v>
      </c>
    </row>
    <row r="571" spans="7:7">
      <c r="G571" t="s">
        <v>1925</v>
      </c>
    </row>
    <row r="572" spans="7:7">
      <c r="G572" t="s">
        <v>1926</v>
      </c>
    </row>
    <row r="573" spans="7:7">
      <c r="G573" t="s">
        <v>1927</v>
      </c>
    </row>
    <row r="574" spans="7:7">
      <c r="G574" t="s">
        <v>1928</v>
      </c>
    </row>
    <row r="575" spans="7:7">
      <c r="G575" t="s">
        <v>1929</v>
      </c>
    </row>
    <row r="577" spans="7:7">
      <c r="G577" t="s">
        <v>1197</v>
      </c>
    </row>
    <row r="579" spans="7:7">
      <c r="G579" t="s">
        <v>1930</v>
      </c>
    </row>
    <row r="581" spans="7:7">
      <c r="G581" t="s">
        <v>1931</v>
      </c>
    </row>
    <row r="582" spans="7:7">
      <c r="G582" t="s">
        <v>1629</v>
      </c>
    </row>
    <row r="583" spans="7:7">
      <c r="G583" t="s">
        <v>1932</v>
      </c>
    </row>
    <row r="584" spans="7:7">
      <c r="G584" t="s">
        <v>1933</v>
      </c>
    </row>
    <row r="585" spans="7:7">
      <c r="G585" t="s">
        <v>1934</v>
      </c>
    </row>
    <row r="586" spans="7:7">
      <c r="G586" t="s">
        <v>1935</v>
      </c>
    </row>
    <row r="587" spans="7:7">
      <c r="G587" t="s">
        <v>1936</v>
      </c>
    </row>
    <row r="588" spans="7:7">
      <c r="G588" t="s">
        <v>1937</v>
      </c>
    </row>
    <row r="589" spans="7:7">
      <c r="G589" t="s">
        <v>1938</v>
      </c>
    </row>
    <row r="590" spans="7:7">
      <c r="G590" t="s">
        <v>1939</v>
      </c>
    </row>
    <row r="591" spans="7:7">
      <c r="G591" t="s">
        <v>1940</v>
      </c>
    </row>
    <row r="592" spans="7:7">
      <c r="G592" t="s">
        <v>1941</v>
      </c>
    </row>
    <row r="593" spans="7:7">
      <c r="G593" t="s">
        <v>1942</v>
      </c>
    </row>
    <row r="594" spans="7:7">
      <c r="G594" t="s">
        <v>1943</v>
      </c>
    </row>
    <row r="595" spans="7:7">
      <c r="G595" t="s">
        <v>1944</v>
      </c>
    </row>
    <row r="596" spans="7:7">
      <c r="G596" t="s">
        <v>1945</v>
      </c>
    </row>
    <row r="598" spans="7:7">
      <c r="G598" t="s">
        <v>1197</v>
      </c>
    </row>
    <row r="600" spans="7:7">
      <c r="G600" t="s">
        <v>1946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宠物与坐骑列表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2026-09-03T16:04:18Z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