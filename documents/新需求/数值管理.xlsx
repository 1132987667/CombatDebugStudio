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5-workspace\code\CombatDebugStudio\documents\新需求\"/>
    </mc:Choice>
  </mc:AlternateContent>
  <bookViews>
    <workbookView windowHeight="17655" activeTab="4"/>
  </bookViews>
  <sheets>
    <sheet name="Sheet1" sheetId="1" r:id="rId1"/>
    <sheet name="属性说明  " sheetId="8" r:id="rId2"/>
    <sheet name="属性" sheetId="7" r:id="rId3"/>
    <sheet name="装备" sheetId="2" r:id="rId4"/>
    <sheet name="流派" sheetId="3" r:id="rId5"/>
    <sheet name="宠物与坐骑" sheetId="4" r:id="rId6"/>
    <sheet name="天赋系统" sheetId="5" r:id="rId7"/>
    <sheet name="属性来源预算比例" sheetId="6" r:id="rId8"/>
    <sheet name="神器与法宝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<sst xmlns="http://schemas.openxmlformats.org/spreadsheetml/2006/main" count="1135" uniqueCount="636">
  <si>
    <t>B类属性</t>
  </si>
  <si>
    <t>系统</t>
  </si>
  <si>
    <t>A基础</t>
  </si>
  <si>
    <t>B输出</t>
  </si>
  <si>
    <t>C生存</t>
  </si>
  <si>
    <t>D对抗</t>
  </si>
  <si>
    <t>E五行</t>
  </si>
  <si>
    <t>F机制</t>
  </si>
  <si>
    <t>最终乘区</t>
  </si>
  <si>
    <t>属性</t>
  </si>
  <si>
    <t>主来源</t>
  </si>
  <si>
    <t>副来源</t>
  </si>
  <si>
    <t>不建议来源</t>
  </si>
  <si>
    <t>等级</t>
  </si>
  <si>
    <t>主要</t>
  </si>
  <si>
    <t>不提供</t>
  </si>
  <si>
    <t>暴击率</t>
  </si>
  <si>
    <t>武器、暴伤流派、攻伐天赋</t>
  </si>
  <si>
    <t>护腕、饰品</t>
  </si>
  <si>
    <t>等级、坐骑、甲胄</t>
  </si>
  <si>
    <t>装备</t>
  </si>
  <si>
    <t>少量</t>
  </si>
  <si>
    <t>暴击伤害</t>
  </si>
  <si>
    <t>饰品</t>
  </si>
  <si>
    <t>等级、坐骑、宠物</t>
  </si>
  <si>
    <t>流派树</t>
  </si>
  <si>
    <t>伤害提升%</t>
  </si>
  <si>
    <t>饰品、攻伐天赋</t>
  </si>
  <si>
    <t>流派终极节点</t>
  </si>
  <si>
    <t>等级、宠物、坐骑、甲胄</t>
  </si>
  <si>
    <t>宠物</t>
  </si>
  <si>
    <t>连击率</t>
  </si>
  <si>
    <t>连击流派、武器</t>
  </si>
  <si>
    <t>护腕、连击套装</t>
  </si>
  <si>
    <t>等级、坐骑、甲胄、守御天赋</t>
  </si>
  <si>
    <t>坐骑</t>
  </si>
  <si>
    <t>真实伤害率</t>
  </si>
  <si>
    <t>暴伤流派终极、攻伐天赋终极</t>
  </si>
  <si>
    <t>特殊武器</t>
  </si>
  <si>
    <t>天赋</t>
  </si>
  <si>
    <t>C类属性</t>
  </si>
  <si>
    <t>免伤率</t>
  </si>
  <si>
    <t>甲胄、守御天赋</t>
  </si>
  <si>
    <t>坐骑、不动流派</t>
  </si>
  <si>
    <t>武器、宠物</t>
  </si>
  <si>
    <t>气血值加成%</t>
  </si>
  <si>
    <t>武器、宠物、输出流派</t>
  </si>
  <si>
    <t>护盾强度</t>
  </si>
  <si>
    <t>不动流派、甲胄</t>
  </si>
  <si>
    <t>守御天赋、饰品</t>
  </si>
  <si>
    <t>宠物、坐骑主给、武器</t>
  </si>
  <si>
    <t>伤害反弹</t>
  </si>
  <si>
    <t>守御天赋</t>
  </si>
  <si>
    <t>宠物、坐骑、武器</t>
  </si>
  <si>
    <t>控制豁免</t>
  </si>
  <si>
    <t>坐骑、守御天赋</t>
  </si>
  <si>
    <t>甲胄</t>
  </si>
  <si>
    <t>武器、宠物、暴伤流派</t>
  </si>
  <si>
    <t>D类属性</t>
  </si>
  <si>
    <t>命中率</t>
  </si>
  <si>
    <t>护腕、机巧天赋</t>
  </si>
  <si>
    <t>连击流派、暴伤流派</t>
  </si>
  <si>
    <t>闪避率</t>
  </si>
  <si>
    <t>鞋子、闪避流派</t>
  </si>
  <si>
    <t>机巧天赋</t>
  </si>
  <si>
    <t>武器、甲胄</t>
  </si>
  <si>
    <t>暴击抵抗</t>
  </si>
  <si>
    <t>暴伤减免</t>
  </si>
  <si>
    <t>E类属性</t>
  </si>
  <si>
    <t>五行攻击%</t>
  </si>
  <si>
    <t>五行流派、宠物、武器/饰品</t>
  </si>
  <si>
    <t>五行天赋</t>
  </si>
  <si>
    <t>五行抗性%</t>
  </si>
  <si>
    <t>甲胄、五行天赋</t>
  </si>
  <si>
    <t>坐骑、饰品</t>
  </si>
  <si>
    <t>武器、宠物主给</t>
  </si>
  <si>
    <t>F类属性</t>
  </si>
  <si>
    <t>反击率</t>
  </si>
  <si>
    <t>武器、甲胄、宠物</t>
  </si>
  <si>
    <t>吸血率</t>
  </si>
  <si>
    <t>武器、饰品</t>
  </si>
  <si>
    <t>攻伐天赋、特定流派</t>
  </si>
  <si>
    <t>控制成功率</t>
  </si>
  <si>
    <t>护腕、五行流派、机巧天赋</t>
  </si>
  <si>
    <t>A</t>
  </si>
  <si>
    <t>层级</t>
  </si>
  <si>
    <t>基础-20</t>
  </si>
  <si>
    <t>L1</t>
  </si>
  <si>
    <t>气血</t>
  </si>
  <si>
    <t>攻击</t>
  </si>
  <si>
    <t>防御</t>
  </si>
  <si>
    <t>命中</t>
  </si>
  <si>
    <t>闪避</t>
  </si>
  <si>
    <t>速度</t>
  </si>
  <si>
    <t>L2</t>
  </si>
  <si>
    <t>气血加成</t>
  </si>
  <si>
    <t>攻击加成</t>
  </si>
  <si>
    <t>防御加成</t>
  </si>
  <si>
    <t>命中加成</t>
  </si>
  <si>
    <t>闪避加成</t>
  </si>
  <si>
    <t>速度加成</t>
  </si>
  <si>
    <t>L3</t>
  </si>
  <si>
    <t>气血系数</t>
  </si>
  <si>
    <t>攻击系数</t>
  </si>
  <si>
    <t>防御系数</t>
  </si>
  <si>
    <t>命中系数</t>
  </si>
  <si>
    <t>闪避系数</t>
  </si>
  <si>
    <t>速度系数</t>
  </si>
  <si>
    <t>L4</t>
  </si>
  <si>
    <t>最终攻击</t>
  </si>
  <si>
    <t>最终防御</t>
  </si>
  <si>
    <t>B</t>
  </si>
  <si>
    <t>输出-14</t>
  </si>
  <si>
    <t>真伤率</t>
  </si>
  <si>
    <t>真伤附加值</t>
  </si>
  <si>
    <t>伤害加成</t>
  </si>
  <si>
    <t>普攻加成</t>
  </si>
  <si>
    <t>技能加成</t>
  </si>
  <si>
    <t>反击伤害加成</t>
  </si>
  <si>
    <t>伤害系数</t>
  </si>
  <si>
    <t>反击伤害系数</t>
  </si>
  <si>
    <t>连击伤害系数</t>
  </si>
  <si>
    <t>真伤系数</t>
  </si>
  <si>
    <t>最终伤害提升</t>
  </si>
  <si>
    <t>C</t>
  </si>
  <si>
    <t>生存-7</t>
  </si>
  <si>
    <t>护盾</t>
  </si>
  <si>
    <t>气血回复(%)</t>
  </si>
  <si>
    <t>气血回复(固定)</t>
  </si>
  <si>
    <t>免伤系数</t>
  </si>
  <si>
    <t>最终伤害减免</t>
  </si>
  <si>
    <t>D</t>
  </si>
  <si>
    <t>对抗-10</t>
  </si>
  <si>
    <t>真伤抗性</t>
  </si>
  <si>
    <t>普攻抵抗</t>
  </si>
  <si>
    <t>技能抵抗</t>
  </si>
  <si>
    <t>效果抵抗</t>
  </si>
  <si>
    <t>E</t>
  </si>
  <si>
    <t>五行-2</t>
  </si>
  <si>
    <t>F</t>
  </si>
  <si>
    <t>机制-5</t>
  </si>
  <si>
    <t>效果命中</t>
  </si>
  <si>
    <t>初始能量</t>
  </si>
  <si>
    <t>能量获取效率</t>
  </si>
  <si>
    <t>G</t>
  </si>
  <si>
    <t>占位-1</t>
  </si>
  <si>
    <t>溅射</t>
  </si>
  <si>
    <t>H</t>
  </si>
  <si>
    <t>机制-10</t>
  </si>
  <si>
    <t>破甲</t>
  </si>
  <si>
    <t>易伤</t>
  </si>
  <si>
    <t>吸血效果加成</t>
  </si>
  <si>
    <t>吸血效果削减</t>
  </si>
  <si>
    <t>护盾加成</t>
  </si>
  <si>
    <t>护盾削减</t>
  </si>
  <si>
    <t>治疗强度加成</t>
  </si>
  <si>
    <t>治疗强度削减</t>
  </si>
  <si>
    <t>伤害反弹加成</t>
  </si>
  <si>
    <t>伤害反弹削减</t>
  </si>
  <si>
    <t>数值类型</t>
  </si>
  <si>
    <t>说明</t>
  </si>
  <si>
    <t>总投放数值</t>
  </si>
  <si>
    <t>来源</t>
  </si>
  <si>
    <t>数值</t>
  </si>
  <si>
    <t>角色生命值，归零即退场。</t>
  </si>
  <si>
    <t>伤害计算基数，越高伤害越高。</t>
  </si>
  <si>
    <t>抵扣受到的伤害，越高受伤越低。</t>
  </si>
  <si>
    <t>攻击命中判定的基础值，对抗目标闪避值。</t>
  </si>
  <si>
    <t>流派+15%</t>
  </si>
  <si>
    <t>闪避判定的基础值，对抗目标命中值。</t>
  </si>
  <si>
    <t>流派16</t>
  </si>
  <si>
    <t>决定每回合行动顺序，高者先动。</t>
  </si>
  <si>
    <t>流派+16%</t>
  </si>
  <si>
    <t>百分比</t>
  </si>
  <si>
    <t>按百分比提高气血。</t>
  </si>
  <si>
    <t>流派+10%</t>
  </si>
  <si>
    <t>按百分比提高攻击。</t>
  </si>
  <si>
    <t>流派+12%</t>
  </si>
  <si>
    <t>按百分比提高防御。</t>
  </si>
  <si>
    <t>按百分比提高命中。</t>
  </si>
  <si>
    <t>按百分比提高闪避。</t>
  </si>
  <si>
    <t>按百分比提高速度。</t>
  </si>
  <si>
    <t>对气血进行独立乘区放大。</t>
  </si>
  <si>
    <t>对攻击进行独立乘区放大。</t>
  </si>
  <si>
    <t>对防御进行独立乘区放大。</t>
  </si>
  <si>
    <t>对命中进行独立乘区放大。</t>
  </si>
  <si>
    <t>对闪避进行独立乘区放大。</t>
  </si>
  <si>
    <t>对速度进行独立乘区放大。</t>
  </si>
  <si>
    <t>最终层提高攻击，不被任何乘区稀释。</t>
  </si>
  <si>
    <t>最终层提高防御，不被任何乘区稀释</t>
  </si>
  <si>
    <t>触发暴击的概率。</t>
  </si>
  <si>
    <t>武器</t>
  </si>
  <si>
    <t>流派</t>
  </si>
  <si>
    <t>暴击时的伤害倍率，基础通常为150%。</t>
  </si>
  <si>
    <t>攻击后追加额外攻击段的概率。</t>
  </si>
  <si>
    <t>将伤害基数的一定比例转化为无视防御的真实伤害。</t>
  </si>
  <si>
    <t>额外附加的固定真实伤害，不随倍率放大。</t>
  </si>
  <si>
    <t>按百分比提高造成的所有伤害。</t>
  </si>
  <si>
    <t>仅按百分比提高普攻伤害。</t>
  </si>
  <si>
    <t>流派12%</t>
  </si>
  <si>
    <t>仅按百分比提高技能伤害。</t>
  </si>
  <si>
    <t>仅按百分比提高反击的伤害。</t>
  </si>
  <si>
    <t>对造成的伤害进行独立乘区放大。</t>
  </si>
  <si>
    <t>独立放大反击段的伤害。</t>
  </si>
  <si>
    <t>独立放大连击段的伤害。</t>
  </si>
  <si>
    <t>独立放大真实伤害。</t>
  </si>
  <si>
    <t>最终层提高造成的伤害。</t>
  </si>
  <si>
    <t>独立于气血的白字血量，优先吸收伤害。</t>
  </si>
  <si>
    <t>按百分比减少受到的伤害。</t>
  </si>
  <si>
    <t>将受到伤害的一定比例反弹给攻击者。</t>
  </si>
  <si>
    <t>每回合按最大气血百分比回复。</t>
  </si>
  <si>
    <t>每回合回复固定气血值。</t>
  </si>
  <si>
    <t>独立放大免伤效果。</t>
  </si>
  <si>
    <t>最终层减少受到的伤害。</t>
  </si>
  <si>
    <t>甲+10%+5%</t>
  </si>
  <si>
    <t>头+5%+5%</t>
  </si>
  <si>
    <t>鞋+5%+5%</t>
  </si>
  <si>
    <t>坐骑+10%</t>
  </si>
  <si>
    <t>直接提高最终命中概率，对抗目标闪避率。</t>
  </si>
  <si>
    <t>武器18%+12%</t>
  </si>
  <si>
    <t>戒指8%</t>
  </si>
  <si>
    <t>饰品8%</t>
  </si>
  <si>
    <t>宠物8%</t>
  </si>
  <si>
    <t>直接降低敌方对自己的最终命中概率。</t>
  </si>
  <si>
    <t>甲+8%+8%</t>
  </si>
  <si>
    <t>头+6%+6%</t>
  </si>
  <si>
    <t>鞋+10%+10%</t>
  </si>
  <si>
    <t>坐骑+12%</t>
  </si>
  <si>
    <t>降低敌方对自己的暴击率。</t>
  </si>
  <si>
    <t>降低敌方对自己的暴击伤害。</t>
  </si>
  <si>
    <t>甲+24%+12%</t>
  </si>
  <si>
    <t>头+8%+8%</t>
  </si>
  <si>
    <t>鞋+8%+8%</t>
  </si>
  <si>
    <t>减少受到的真实伤害。</t>
  </si>
  <si>
    <t>甲+12%+6%</t>
  </si>
  <si>
    <t>鞋+6%+6%</t>
  </si>
  <si>
    <t>减少受到的普攻伤害。</t>
  </si>
  <si>
    <t>减少受到的技能伤害。</t>
  </si>
  <si>
    <t>降低被敌方控制的概率。</t>
  </si>
  <si>
    <t>降低被敌方减益/异常状态命中的概率。</t>
  </si>
  <si>
    <t>将一定比例伤害转化为对应五行属性伤害。</t>
  </si>
  <si>
    <t>减少受到的对应五行属性伤害。</t>
  </si>
  <si>
    <t>反击率%</t>
  </si>
  <si>
    <t>被攻击后触发反击的概率。</t>
  </si>
  <si>
    <t>吸血率%</t>
  </si>
  <si>
    <t>造成伤害时按百分比转化为气血回复。</t>
  </si>
  <si>
    <t>效果命中%</t>
  </si>
  <si>
    <t>提高减益与异常状态的命中概率。</t>
  </si>
  <si>
    <t>武器16%+8%</t>
  </si>
  <si>
    <t>初始能量%</t>
  </si>
  <si>
    <t>战斗开始时所拥有的能量值。</t>
  </si>
  <si>
    <t>能量获取效率%</t>
  </si>
  <si>
    <t>按百分比放大所有来源获得的能量。</t>
  </si>
  <si>
    <t>溅射%</t>
  </si>
  <si>
    <t>攻击主目标时对相邻目标造成的伤害比例。</t>
  </si>
  <si>
    <t>破甲%</t>
  </si>
  <si>
    <t>降低目标防御，可叠加层数。</t>
  </si>
  <si>
    <t>易伤%</t>
  </si>
  <si>
    <t>提高目标受到的伤害。</t>
  </si>
  <si>
    <t>护盾加成%</t>
  </si>
  <si>
    <t>放大所有来源提供的护盾值。</t>
  </si>
  <si>
    <t>盔甲24%+12%</t>
  </si>
  <si>
    <t>头盔+12%</t>
  </si>
  <si>
    <t>流派+20%</t>
  </si>
  <si>
    <t>护盾削减%</t>
  </si>
  <si>
    <t>降低目标获得的护盾值。</t>
  </si>
  <si>
    <t>伤害反弹加成%</t>
  </si>
  <si>
    <t>放大反弹伤害的数值。</t>
  </si>
  <si>
    <t>伤害反弹削减%</t>
  </si>
  <si>
    <t>降低目标反弹伤害的数值。</t>
  </si>
  <si>
    <t>武器12%+6%</t>
  </si>
  <si>
    <t>戒指6%</t>
  </si>
  <si>
    <t>饰品6%</t>
  </si>
  <si>
    <t>宠物6%</t>
  </si>
  <si>
    <t>吸血效果加成%</t>
  </si>
  <si>
    <t>放大吸血回复量。</t>
  </si>
  <si>
    <t>吸血效果削减%</t>
  </si>
  <si>
    <t>降低目标吸血的回复量。</t>
  </si>
  <si>
    <t>治疗强度加成%</t>
  </si>
  <si>
    <t>放大提供的治疗效果。</t>
  </si>
  <si>
    <t>治疗强度削减%</t>
  </si>
  <si>
    <t>降低目标受到的治疗效果。</t>
  </si>
  <si>
    <t>类型</t>
  </si>
  <si>
    <t>常用描述</t>
  </si>
  <si>
    <t>示例</t>
  </si>
  <si>
    <t>转换</t>
  </si>
  <si>
    <t>一级属性</t>
  </si>
  <si>
    <t>属性点</t>
  </si>
  <si>
    <t>每级属性</t>
  </si>
  <si>
    <t>第一层</t>
  </si>
  <si>
    <t>基础数值</t>
  </si>
  <si>
    <t>BASE+ADDITIVE</t>
  </si>
  <si>
    <t>+100攻击</t>
  </si>
  <si>
    <t>第二层</t>
  </si>
  <si>
    <t>百分比加成</t>
  </si>
  <si>
    <t>PERCENTAGE</t>
  </si>
  <si>
    <t>加成</t>
  </si>
  <si>
    <t>+10%攻击加成</t>
  </si>
  <si>
    <t>第三层</t>
  </si>
  <si>
    <t>独立乘区</t>
  </si>
  <si>
    <t>MULTIPLICATIVE</t>
  </si>
  <si>
    <t>系数</t>
  </si>
  <si>
    <t>+10%攻击系数</t>
  </si>
  <si>
    <t>第四层</t>
  </si>
  <si>
    <t>FINAL</t>
  </si>
  <si>
    <t>+10%最终攻击</t>
  </si>
  <si>
    <t>总属性点</t>
  </si>
  <si>
    <t>权重</t>
  </si>
  <si>
    <t>占比</t>
  </si>
  <si>
    <t>提供属性</t>
  </si>
  <si>
    <t>属性A</t>
  </si>
  <si>
    <t>属性A B C D E F + 属性增幅</t>
  </si>
  <si>
    <t>技能 + 特性 + 属性增幅</t>
  </si>
  <si>
    <t>属性A B C D E F + 独立乘区</t>
  </si>
  <si>
    <t>属性 B C D E F + 最终乘区 + 特性</t>
  </si>
  <si>
    <t>总属性点:</t>
  </si>
  <si>
    <t>统一属性价值模型 = 基础价值 + 期望收益 + 条件覆盖率 + 乘区位置 + 边际衰减</t>
  </si>
  <si>
    <t>1标准属性点</t>
  </si>
  <si>
    <t>=</t>
  </si>
  <si>
    <t>12气血</t>
  </si>
  <si>
    <t>2攻击</t>
  </si>
  <si>
    <t>2防御</t>
  </si>
  <si>
    <t>2命中</t>
  </si>
  <si>
    <t>2闪避</t>
  </si>
  <si>
    <t>2速度</t>
  </si>
  <si>
    <t>来源: 武器、戒指、护符</t>
  </si>
  <si>
    <t>同一装备最多出现1条真实伤害率词条。</t>
  </si>
  <si>
    <t>流派投放15%</t>
  </si>
  <si>
    <t>天赋投放10</t>
  </si>
  <si>
    <t>条件型真伤</t>
  </si>
  <si>
    <t>投放</t>
  </si>
  <si>
    <t>普攻伤害减免%</t>
  </si>
  <si>
    <t>技能伤害减免%</t>
  </si>
  <si>
    <t>将一部分伤害转化为真实伤害。不允许超过100%，普通伤害基数 = 伤害基数 × (1 - 真实伤害率%)</t>
  </si>
  <si>
    <t>真伤追加值</t>
  </si>
  <si>
    <t>10%-25%</t>
  </si>
  <si>
    <t>大类</t>
  </si>
  <si>
    <t>分类</t>
  </si>
  <si>
    <t>剑</t>
  </si>
  <si>
    <t>棍</t>
  </si>
  <si>
    <t>锤</t>
  </si>
  <si>
    <t>衣服</t>
  </si>
  <si>
    <t>布甲</t>
  </si>
  <si>
    <t>皮甲</t>
  </si>
  <si>
    <t>盔甲</t>
  </si>
  <si>
    <t>头盔</t>
  </si>
  <si>
    <t>面</t>
  </si>
  <si>
    <t>冠</t>
  </si>
  <si>
    <t>靴子</t>
  </si>
  <si>
    <t>布靴</t>
  </si>
  <si>
    <t>皮靴</t>
  </si>
  <si>
    <t>战靴</t>
  </si>
  <si>
    <t>戒指</t>
  </si>
  <si>
    <t>品阶</t>
  </si>
  <si>
    <t>强化上限</t>
  </si>
  <si>
    <t>品质</t>
  </si>
  <si>
    <t>词条数量</t>
  </si>
  <si>
    <t>词条</t>
  </si>
  <si>
    <t>凡品</t>
  </si>
  <si>
    <t>凡</t>
  </si>
  <si>
    <t>主要属性</t>
  </si>
  <si>
    <t>附加属性</t>
  </si>
  <si>
    <t>玄品</t>
  </si>
  <si>
    <t>精</t>
  </si>
  <si>
    <t>连击率%</t>
  </si>
  <si>
    <t>地品</t>
  </si>
  <si>
    <t>超</t>
  </si>
  <si>
    <t>天品</t>
  </si>
  <si>
    <t>绝</t>
  </si>
  <si>
    <t>暴击率，暴伤</t>
  </si>
  <si>
    <t>真伤</t>
  </si>
  <si>
    <t>仙品</t>
  </si>
  <si>
    <t>神</t>
  </si>
  <si>
    <t>免伤</t>
  </si>
  <si>
    <t>基础属性</t>
  </si>
  <si>
    <t>护符</t>
  </si>
  <si>
    <t>连击</t>
  </si>
  <si>
    <t>名称</t>
  </si>
  <si>
    <t>被动</t>
  </si>
  <si>
    <t>连击气势</t>
  </si>
  <si>
    <t>被动 2 普攻叠风势,每层+5%连击，最高8层</t>
  </si>
  <si>
    <t>被动 2 触发连击时，降敌敌人5%防御，最高6层</t>
  </si>
  <si>
    <t>本回合每触发1段连击，普攻倍率+5%(最高+25%)，下回合重置</t>
  </si>
  <si>
    <t>连击段对随机另一名敌人造成50%溅射伤害</t>
  </si>
  <si>
    <t>风势满层后，每次普攻消耗1层风势，该次普攻倍率+30%</t>
  </si>
  <si>
    <t>小技能</t>
  </si>
  <si>
    <t>迅风击</t>
  </si>
  <si>
    <t>以130%倍率进行一次普攻，命中+1层风势</t>
  </si>
  <si>
    <t>聚风</t>
  </si>
  <si>
    <t>下次普攻倍率+50%(封顶200%)，且首段连击必定触发</t>
  </si>
  <si>
    <t>破甲斩</t>
  </si>
  <si>
    <t>以140%倍率进行一次普攻，命中额外+1层裂甲</t>
  </si>
  <si>
    <t>风卷残云</t>
  </si>
  <si>
    <t>本次普攻变为列攻击(同列前后排)，倍率100%，连击段仍只打主目标</t>
  </si>
  <si>
    <t>斗战·千连击</t>
  </si>
  <si>
    <t>以150%倍率进行一次普攻，本次连击伤害不衰减，段数上限+1</t>
  </si>
  <si>
    <t>斗战·连环击</t>
  </si>
  <si>
    <t>连续进行3次普攻(每次120%倍率，各自独立判定连击)，每层风势+2%连击率(本技能)</t>
  </si>
  <si>
    <t>以130%倍率进行普攻，命中+1层风势</t>
  </si>
  <si>
    <t>风势滔天</t>
  </si>
  <si>
    <t>进入风势状态2回合：普攻倍率+30%、连击率+10%、连击段带50%溅射；发动时立即追加1次基础普攻</t>
  </si>
  <si>
    <t>流派树属性归属</t>
  </si>
  <si>
    <t>少量副属性</t>
  </si>
  <si>
    <t>不建议属性</t>
  </si>
  <si>
    <t>连击流</t>
  </si>
  <si>
    <t>连击率、命中率、速度</t>
  </si>
  <si>
    <t>攻击%、伤害提升%</t>
  </si>
  <si>
    <t>护盾、反伤、免伤主属性</t>
  </si>
  <si>
    <t>暴伤流</t>
  </si>
  <si>
    <t>暴击率、暴击伤害、真实伤害率、伤害提升%</t>
  </si>
  <si>
    <t>攻击%、命中率</t>
  </si>
  <si>
    <t>闪避率、反击率、护盾</t>
  </si>
  <si>
    <t>护盾反伤流</t>
  </si>
  <si>
    <t>护盾强度、伤害反弹、免伤率、控制豁免</t>
  </si>
  <si>
    <t>防御%、气血%</t>
  </si>
  <si>
    <t>暴击率、连击率、速度主属性</t>
  </si>
  <si>
    <t>闪避流</t>
  </si>
  <si>
    <t>闪避率、速度、反击率</t>
  </si>
  <si>
    <t>命中率、闪避值</t>
  </si>
  <si>
    <t>暴伤、真伤、护盾主属性</t>
  </si>
  <si>
    <t>五行流</t>
  </si>
  <si>
    <t>五行攻击%、控制成功率、五行抗性%</t>
  </si>
  <si>
    <t>伤害提升%、命中</t>
  </si>
  <si>
    <t>物理暴击主属性、反伤主属性</t>
  </si>
  <si>
    <t>#</t>
  </si>
  <si>
    <t>效果</t>
  </si>
  <si>
    <t>弱点洞察</t>
  </si>
  <si>
    <t>基础</t>
  </si>
  <si>
    <t>战斗开始暴击率+10%</t>
  </si>
  <si>
    <t>凶残</t>
  </si>
  <si>
    <t>暴击伤害+20%</t>
  </si>
  <si>
    <t>破绽洞察</t>
  </si>
  <si>
    <t>暴击施加1层破绽(上限3)，每层-5%目标免伤</t>
  </si>
  <si>
    <t>暴击之势</t>
  </si>
  <si>
    <t>进阶</t>
  </si>
  <si>
    <r>
      <t>暴击后下次</t>
    </r>
    <r>
      <rPr>
        <sz val="12"/>
        <color rgb="FF222222"/>
        <rFont val="Arial"/>
        <charset val="134"/>
      </rPr>
      <t>普攻</t>
    </r>
    <r>
      <rPr>
        <sz val="12"/>
        <color rgb="FF222222"/>
        <rFont val="Arial"/>
        <charset val="134"/>
      </rPr>
      <t>伤害+30%且必定触发1次连击(连击仅普攻可触发)</t>
    </r>
  </si>
  <si>
    <t>破盾</t>
  </si>
  <si>
    <t>对护盾目标暴击率+20%，护盾伤害+20%</t>
  </si>
  <si>
    <t>流派树节点收窄</t>
  </si>
  <si>
    <t>斩杀</t>
  </si>
  <si>
    <t>目标气血&lt;30%时暴击伤害+50%</t>
  </si>
  <si>
    <t>无情</t>
  </si>
  <si>
    <t>暴击无视10%防御</t>
  </si>
  <si>
    <t>节点类型</t>
  </si>
  <si>
    <t>作用</t>
  </si>
  <si>
    <t>会心</t>
  </si>
  <si>
    <t>暴击溢出转化提升至每1%转0.8%暴伤</t>
  </si>
  <si>
    <t>小节点</t>
  </si>
  <si>
    <t>只给本流派相关属性</t>
  </si>
  <si>
    <t>破军</t>
  </si>
  <si>
    <t>终极</t>
  </si>
  <si>
    <t>攻击破绽目标附加目标10%最大气血真伤(单次上限自身攻击150%，Boss减半)</t>
  </si>
  <si>
    <t>中节点</t>
  </si>
  <si>
    <t>强化本流派机制</t>
  </si>
  <si>
    <t>天崩</t>
  </si>
  <si>
    <t>每回合首次攻击必定暴击；溢出伤害(超出目标剩余气血部分)30%溅射其他敌人真伤</t>
  </si>
  <si>
    <t>大节点</t>
  </si>
  <si>
    <t>改变玩法或提供独立乘区</t>
  </si>
  <si>
    <t>终极节点</t>
  </si>
  <si>
    <t>提供流派质变，但不给最终乘区</t>
  </si>
  <si>
    <t>能量</t>
  </si>
  <si>
    <t>目标</t>
  </si>
  <si>
    <t>例如：</t>
  </si>
  <si>
    <t>重击</t>
  </si>
  <si>
    <t>单体</t>
  </si>
  <si>
    <t>130%伤害，本次暴击率+20%</t>
  </si>
  <si>
    <t>终极节点示例</t>
  </si>
  <si>
    <t>破绽斩</t>
  </si>
  <si>
    <t>150%伤害，暴击时额外+1层破绽</t>
  </si>
  <si>
    <t>连击第3段后附加破甲，独立伤害+10%</t>
  </si>
  <si>
    <t>弱点刺</t>
  </si>
  <si>
    <t>100%伤害，命中必定施加1层破绽(无需暴击)</t>
  </si>
  <si>
    <t>暴击后目标获得破绽，暴伤独立+15%</t>
  </si>
  <si>
    <t>碎盾斩</t>
  </si>
  <si>
    <t>140%伤害，护盾伤害+50%，暴击时击破目标护盾</t>
  </si>
  <si>
    <t>护盾破碎后获得怒目，反伤独立+30%</t>
  </si>
  <si>
    <t>灭魂一击</t>
  </si>
  <si>
    <t>气血最低</t>
  </si>
  <si>
    <t>160%伤害，暴击率+15%(收割)</t>
  </si>
  <si>
    <t>闪避成功后下次反击必中并致盲</t>
  </si>
  <si>
    <t>怒斩</t>
  </si>
  <si>
    <t>120%伤害，消耗目标破绽，每层+20%伤害</t>
  </si>
  <si>
    <t>五行异常触发率+10%，异常目标受五行伤害独立+12%</t>
  </si>
  <si>
    <t>破阵斩</t>
  </si>
  <si>
    <t>列攻击</t>
  </si>
  <si>
    <t>同列前后排110%伤害，本技能暴击率+15%</t>
  </si>
  <si>
    <t>袭后斩</t>
  </si>
  <si>
    <t>切后</t>
  </si>
  <si>
    <t>无视前排保护130%伤害，目标暴露时暴伤+25%</t>
  </si>
  <si>
    <t>穿甲刺</t>
  </si>
  <si>
    <t>110%伤害，施加1层裂甲(-5%防御)</t>
  </si>
  <si>
    <t>嗜血斩</t>
  </si>
  <si>
    <t>130%伤害，暴击时吸血本次伤害50%</t>
  </si>
  <si>
    <t>破军·天崩</t>
  </si>
  <si>
    <t>250%伤害，必定暴击，暴击+2层破绽</t>
  </si>
  <si>
    <t>破军·屠戮</t>
  </si>
  <si>
    <t>全体</t>
  </si>
  <si>
    <t>150%伤害，本次暴击率+40%；暴击且目标&lt;30%血直接斩杀(Boss免疫)</t>
  </si>
  <si>
    <t>破军·破绽爆</t>
  </si>
  <si>
    <t>200%伤害，消耗全部破绽每层+40%伤害；消耗≥3层时目标眩晕1回合(Boss抗性生效)</t>
  </si>
  <si>
    <t>破军·碎盾军</t>
  </si>
  <si>
    <t>140%伤害，护盾伤害+100%，暴击时击破目标护盾</t>
  </si>
  <si>
    <t>破军·处刑闪</t>
  </si>
  <si>
    <t>280%伤害，击杀目标时立即获得1次额外行动(每场1次)</t>
  </si>
  <si>
    <t>破军·弱点灭</t>
  </si>
  <si>
    <t>300%伤害，无视30%防御，目标每1%免伤转1%本次暴伤</t>
  </si>
  <si>
    <t>破军·杀意域</t>
  </si>
  <si>
    <t>领域</t>
  </si>
  <si>
    <t>2回合：敌方全体受暴伤+15%，斩杀线提升至40%</t>
  </si>
  <si>
    <t>破军·崩天击</t>
  </si>
  <si>
    <t>320%伤害，溢出伤害50%溅射其他敌人真伤</t>
  </si>
  <si>
    <t>破军·必杀</t>
  </si>
  <si>
    <t>220%伤害，本次暴击伤害+100%</t>
  </si>
  <si>
    <t>破军·灭绝</t>
  </si>
  <si>
    <t>160%伤害，消耗全体目标破绽，每层追加1段60%攻击(上限+3段)</t>
  </si>
  <si>
    <t>宠物属性收窄</t>
  </si>
  <si>
    <t>宠物偏五行、异常、输出条件。</t>
  </si>
  <si>
    <t>坐骑属性收窄</t>
  </si>
  <si>
    <t>坐骑偏速度、生存、对抗、韧性。</t>
  </si>
  <si>
    <t>宠物属性类别</t>
  </si>
  <si>
    <t>是否推荐</t>
  </si>
  <si>
    <t>坐骑属性类别</t>
  </si>
  <si>
    <t>少量A基础属性</t>
  </si>
  <si>
    <t>推荐</t>
  </si>
  <si>
    <t>作为宠物等级成长</t>
  </si>
  <si>
    <t>强烈推荐</t>
  </si>
  <si>
    <t>坐骑核心</t>
  </si>
  <si>
    <t>宠物核心</t>
  </si>
  <si>
    <t>用于异常触发</t>
  </si>
  <si>
    <t>坐骑可承担生存</t>
  </si>
  <si>
    <t>独立条件乘区</t>
  </si>
  <si>
    <t>宠物核心差异</t>
  </si>
  <si>
    <t>坐骑可承担对抗</t>
  </si>
  <si>
    <t>暴击率/暴伤</t>
  </si>
  <si>
    <t>不推荐</t>
  </si>
  <si>
    <t>会污染输出属性来源</t>
  </si>
  <si>
    <t>应留给饰品和天赋</t>
  </si>
  <si>
    <t>适合敏型坐骑</t>
  </si>
  <si>
    <t>免伤/护盾/反伤</t>
  </si>
  <si>
    <t>只适合特定守护型宠物</t>
  </si>
  <si>
    <t>适合战马类坐骑</t>
  </si>
  <si>
    <t>反击率/吸血率</t>
  </si>
  <si>
    <t>应留给鞋子和武器</t>
  </si>
  <si>
    <t>避免坐骑抢输出系统职责</t>
  </si>
  <si>
    <t>留给饰品和天赋</t>
  </si>
  <si>
    <t>留给宠物和五行系统</t>
  </si>
  <si>
    <t>推荐属性</t>
  </si>
  <si>
    <t>疾风马</t>
  </si>
  <si>
    <t>速度、闪避率、速度高于目标时闪避+5%</t>
  </si>
  <si>
    <t>火鸦</t>
  </si>
  <si>
    <t>火属性攻击%、灼烧触发率、攻击灼烧目标独立+8%</t>
  </si>
  <si>
    <t>玄龟</t>
  </si>
  <si>
    <t>气血、免伤率、护盾存在时免伤独立+6%</t>
  </si>
  <si>
    <t>水蛟</t>
  </si>
  <si>
    <t>水属性攻击%、迟缓触发率、对低速目标独立+8%</t>
  </si>
  <si>
    <t>战虎</t>
  </si>
  <si>
    <t>速度、反击率、被攻击后反击率+8%</t>
  </si>
  <si>
    <t>金猊</t>
  </si>
  <si>
    <t>金属性攻击%、破甲触发率、对高防目标独立+10%</t>
  </si>
  <si>
    <t>白象</t>
  </si>
  <si>
    <t>控制豁免、暴击抵抗、受控制后获得1回合减伤</t>
  </si>
  <si>
    <t>木灵</t>
  </si>
  <si>
    <t>木属性攻击%、禁疗触发率、对回复目标独立+8%</t>
  </si>
  <si>
    <t>火麒麟</t>
  </si>
  <si>
    <t>少量速度、火属性抗性、对灼烧目标独立减伤</t>
  </si>
  <si>
    <t>土熊</t>
  </si>
  <si>
    <t>土属性攻击%、护盾存在时免伤独立+6%</t>
  </si>
  <si>
    <t>成长</t>
  </si>
  <si>
    <t>初生期</t>
  </si>
  <si>
    <t>少量A类属性</t>
  </si>
  <si>
    <t>幼年期</t>
  </si>
  <si>
    <t>成长期</t>
  </si>
  <si>
    <t>成熟期</t>
  </si>
  <si>
    <t>完全体</t>
  </si>
  <si>
    <t>天赋最终乘区收窄</t>
  </si>
  <si>
    <t>天赋分支设计</t>
  </si>
  <si>
    <t>最终乘区只应来自天赋终极节点。</t>
  </si>
  <si>
    <t>天赋分支</t>
  </si>
  <si>
    <t>最终乘区方向</t>
  </si>
  <si>
    <t>适合流派</t>
  </si>
  <si>
    <t>攻伐</t>
  </si>
  <si>
    <t>最终伤害提升% / 最终攻击%</t>
  </si>
  <si>
    <t>暴击率、暴击伤害、伤害提升、真实伤害率、吸血率</t>
  </si>
  <si>
    <t>连击、暴伤</t>
  </si>
  <si>
    <t>护盾、反伤、免伤</t>
  </si>
  <si>
    <t>守御</t>
  </si>
  <si>
    <t>最终伤害减免% / 最终防御%</t>
  </si>
  <si>
    <t>免伤率、气血值加成、护盾强度、伤害反弹、暴击抵抗、暴伤减免</t>
  </si>
  <si>
    <t>护盾反伤</t>
  </si>
  <si>
    <t>暴击、连击、真伤</t>
  </si>
  <si>
    <t>五行</t>
  </si>
  <si>
    <t>最终五行伤害提升% / 最终五行抗性%</t>
  </si>
  <si>
    <t>五行攻击%、五行抗性%、控制成功率、五行易伤</t>
  </si>
  <si>
    <t>物理暴击主属性</t>
  </si>
  <si>
    <t>机巧</t>
  </si>
  <si>
    <t>最终闪避/命中相关收益，谨慎设计</t>
  </si>
  <si>
    <t>命中率、闪避率、反击率、速度、控制成功率</t>
  </si>
  <si>
    <t>闪避、控制</t>
  </si>
  <si>
    <t>暴伤、真伤主属性</t>
  </si>
  <si>
    <t>注意：</t>
  </si>
  <si>
    <t>SAP</t>
  </si>
  <si>
    <t>每个属性应设定来源预算。</t>
  </si>
  <si>
    <t>1单位属性点</t>
  </si>
  <si>
    <t>来源类型</t>
  </si>
  <si>
    <t>占该属性总预算</t>
  </si>
  <si>
    <t>1 SAP = 12气血 = 2攻击 = 2防御 = 2命中 = 2闪避 = 2速度</t>
  </si>
  <si>
    <t>60%~80%</t>
  </si>
  <si>
    <t>20%~40%</t>
  </si>
  <si>
    <t>禁止来源</t>
  </si>
  <si>
    <t>示例1：暴击率总预算</t>
  </si>
  <si>
    <t>假设满级标准玩家暴击率总预算为60%。</t>
  </si>
  <si>
    <t>实际投放</t>
  </si>
  <si>
    <t>暴伤流派</t>
  </si>
  <si>
    <t>攻伐天赋</t>
  </si>
  <si>
    <t>护腕副词条</t>
  </si>
  <si>
    <t>总计</t>
  </si>
  <si>
    <t>其他系统不应再提供暴击率。</t>
  </si>
  <si>
    <t>示例2：护盾强度总预算</t>
  </si>
  <si>
    <t>假设满级护盾强度总预算为50%。</t>
  </si>
  <si>
    <t>不动流派</t>
  </si>
  <si>
    <t>饰品副词条</t>
  </si>
  <si>
    <t>宠物和坐骑不应作为护盾强度主来源。</t>
  </si>
  <si>
    <t>示例3：速度总预算</t>
  </si>
  <si>
    <t>速度比较特殊，因为它是行动顺序核心。</t>
  </si>
  <si>
    <t>速度来源可以稍宽，但仍要收窄。</t>
  </si>
  <si>
    <t>等级固定成长</t>
  </si>
  <si>
    <t>基础速度</t>
  </si>
  <si>
    <t>自由属性点</t>
  </si>
  <si>
    <t>玩家选择</t>
  </si>
  <si>
    <t>装备鞋子</t>
  </si>
  <si>
    <t>鞋子主属性</t>
  </si>
  <si>
    <t>连击/闪避流派少量</t>
  </si>
  <si>
    <t>0%~5%</t>
  </si>
  <si>
    <t>机巧天赋少量</t>
  </si>
  <si>
    <t>天赋不建议大量给速度，否则终极天赋会变成速度竞赛。</t>
  </si>
  <si>
    <t>法宝主攻伐，神器主防守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</si>
</sst>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</numFmts>
  <fonts count="25">
    <font>
      <sz val="11"/>
      <color theme="1"/>
      <name val="宋体"/>
      <charset val="134"/>
      <scheme val="minor"/>
    </font>
    <font>
      <sz val="12"/>
      <color rgb="FF222222"/>
      <name val="宋体"/>
      <charset val="134"/>
    </font>
    <font>
      <sz val="10"/>
      <color rgb="FFF2858C"/>
      <name val="Consolas"/>
      <charset val="134"/>
    </font>
    <font>
      <sz val="10.5"/>
      <color rgb="FF222222"/>
      <name val="Arial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222222"/>
      <name val="Arial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9" fontId="0" fillId="0" borderId="0" xfId="0" applyNumberFormat="1">
      <alignment vertical="center"/>
    </xf>
    <xf numFmtId="0" fontId="2" fillId="0" borderId="0" xfId="0" applyFont="1">
      <alignment vertical="center"/>
    </xf>
    <xf numFmtId="10" fontId="0" fillId="0" borderId="0" xfId="0" applyNumberFormat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176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6:Z63"/>
  <sheetViews>
    <sheetView topLeftCell="A18" workbookViewId="0">
      <selection activeCell="H32" sqref="H32:M64"/>
    </sheetView>
  </sheetViews>
  <sheetFormatPr defaultColWidth="9" defaultRowHeight="13.5"/>
  <cols>
    <col min="8" max="8" width="16.6666666666667" customWidth="1"/>
    <col min="9" max="9" width="31.1083333333333" customWidth="1"/>
    <col min="10" max="13" width="16.6666666666667" customWidth="1"/>
  </cols>
  <sheetData>
    <row r="16" spans="4:4">
      <c r="D16" s="10"/>
    </row>
    <row r="31" spans="8:26">
      <c r="H31" s="2" t="s">
        <v>0</v>
      </c>
      <c r="I31" s="2"/>
      <c r="J31" s="2"/>
      <c r="K31" s="2"/>
      <c r="L31" s="2"/>
      <c r="M31" s="2"/>
      <c r="S31" t="s">
        <v>1</v>
      </c>
      <c r="T31" t="s">
        <v>2</v>
      </c>
      <c r="U31" t="s">
        <v>3</v>
      </c>
      <c r="V31" t="s">
        <v>4</v>
      </c>
      <c r="W31" t="s">
        <v>5</v>
      </c>
      <c r="X31" t="s">
        <v>6</v>
      </c>
      <c r="Y31" t="s">
        <v>7</v>
      </c>
      <c r="Z31" t="s">
        <v>8</v>
      </c>
    </row>
    <row r="32" spans="8:26">
      <c r="H32" s="11" t="s">
        <v>9</v>
      </c>
      <c r="I32" s="11" t="s">
        <v>10</v>
      </c>
      <c r="J32" s="11" t="s">
        <v>11</v>
      </c>
      <c r="K32" s="11" t="s">
        <v>12</v>
      </c>
      <c r="L32" s="11"/>
      <c r="S32" t="s">
        <v>13</v>
      </c>
      <c r="T32" t="s">
        <v>14</v>
      </c>
      <c r="U32" t="s">
        <v>15</v>
      </c>
      <c r="V32" t="s">
        <v>15</v>
      </c>
      <c r="W32" t="s">
        <v>15</v>
      </c>
      <c r="X32" t="s">
        <v>15</v>
      </c>
      <c r="Y32" t="s">
        <v>15</v>
      </c>
      <c r="Z32" t="s">
        <v>15</v>
      </c>
    </row>
    <row r="33" spans="8:26">
      <c r="H33" t="s">
        <v>16</v>
      </c>
      <c r="I33" t="s">
        <v>17</v>
      </c>
      <c r="J33" t="s">
        <v>18</v>
      </c>
      <c r="K33" t="s">
        <v>19</v>
      </c>
      <c r="S33" t="s">
        <v>20</v>
      </c>
      <c r="T33" t="s">
        <v>14</v>
      </c>
      <c r="U33" t="s">
        <v>21</v>
      </c>
      <c r="V33" t="s">
        <v>21</v>
      </c>
      <c r="W33" t="s">
        <v>14</v>
      </c>
      <c r="X33" t="s">
        <v>21</v>
      </c>
      <c r="Y33" t="s">
        <v>21</v>
      </c>
      <c r="Z33" t="s">
        <v>15</v>
      </c>
    </row>
    <row r="34" spans="8:26">
      <c r="H34" t="s">
        <v>22</v>
      </c>
      <c r="I34" t="s">
        <v>17</v>
      </c>
      <c r="J34" t="s">
        <v>23</v>
      </c>
      <c r="K34" t="s">
        <v>24</v>
      </c>
      <c r="S34" t="s">
        <v>25</v>
      </c>
      <c r="T34" t="s">
        <v>21</v>
      </c>
      <c r="U34" t="s">
        <v>14</v>
      </c>
      <c r="V34" t="s">
        <v>14</v>
      </c>
      <c r="W34" t="s">
        <v>21</v>
      </c>
      <c r="X34" t="s">
        <v>21</v>
      </c>
      <c r="Y34" t="s">
        <v>14</v>
      </c>
      <c r="Z34" t="s">
        <v>15</v>
      </c>
    </row>
    <row r="35" spans="8:26">
      <c r="H35" t="s">
        <v>26</v>
      </c>
      <c r="I35" t="s">
        <v>27</v>
      </c>
      <c r="J35" t="s">
        <v>28</v>
      </c>
      <c r="K35" t="s">
        <v>29</v>
      </c>
      <c r="S35" t="s">
        <v>30</v>
      </c>
      <c r="T35" t="s">
        <v>21</v>
      </c>
      <c r="U35" t="s">
        <v>15</v>
      </c>
      <c r="V35" t="s">
        <v>21</v>
      </c>
      <c r="W35" t="s">
        <v>15</v>
      </c>
      <c r="X35" t="s">
        <v>14</v>
      </c>
      <c r="Y35" t="s">
        <v>21</v>
      </c>
      <c r="Z35" t="s">
        <v>15</v>
      </c>
    </row>
    <row r="36" spans="8:26">
      <c r="H36" t="s">
        <v>31</v>
      </c>
      <c r="I36" t="s">
        <v>32</v>
      </c>
      <c r="J36" t="s">
        <v>33</v>
      </c>
      <c r="K36" t="s">
        <v>34</v>
      </c>
      <c r="S36" t="s">
        <v>35</v>
      </c>
      <c r="T36" t="s">
        <v>21</v>
      </c>
      <c r="U36" t="s">
        <v>15</v>
      </c>
      <c r="V36" t="s">
        <v>14</v>
      </c>
      <c r="W36" t="s">
        <v>14</v>
      </c>
      <c r="X36" t="s">
        <v>21</v>
      </c>
      <c r="Y36" t="s">
        <v>21</v>
      </c>
      <c r="Z36" t="s">
        <v>15</v>
      </c>
    </row>
    <row r="37" spans="8:26">
      <c r="H37" t="s">
        <v>36</v>
      </c>
      <c r="I37" t="s">
        <v>37</v>
      </c>
      <c r="J37" t="s">
        <v>38</v>
      </c>
      <c r="K37" t="s">
        <v>29</v>
      </c>
      <c r="S37" t="s">
        <v>39</v>
      </c>
      <c r="T37" t="s">
        <v>15</v>
      </c>
      <c r="U37" t="s">
        <v>14</v>
      </c>
      <c r="V37" t="s">
        <v>14</v>
      </c>
      <c r="W37" t="s">
        <v>14</v>
      </c>
      <c r="X37" t="s">
        <v>14</v>
      </c>
      <c r="Y37" t="s">
        <v>14</v>
      </c>
      <c r="Z37" t="s">
        <v>14</v>
      </c>
    </row>
    <row r="39" spans="8:26">
      <c r="H39" s="2" t="s">
        <v>40</v>
      </c>
      <c r="I39" s="2"/>
      <c r="J39" s="2"/>
      <c r="K39" s="2"/>
      <c r="L39" s="2"/>
      <c r="M39" s="2"/>
    </row>
    <row r="40" spans="8:26">
      <c r="H40" s="11" t="s">
        <v>9</v>
      </c>
      <c r="I40" s="11" t="s">
        <v>10</v>
      </c>
      <c r="J40" s="11" t="s">
        <v>11</v>
      </c>
      <c r="K40" s="11" t="s">
        <v>12</v>
      </c>
      <c r="L40" s="11"/>
    </row>
    <row r="41" spans="8:26">
      <c r="H41" t="s">
        <v>41</v>
      </c>
      <c r="I41" t="s">
        <v>42</v>
      </c>
      <c r="J41" t="s">
        <v>43</v>
      </c>
      <c r="K41" t="s">
        <v>44</v>
      </c>
    </row>
    <row r="42" spans="8:26">
      <c r="H42" t="s">
        <v>45</v>
      </c>
      <c r="I42" t="s">
        <v>42</v>
      </c>
      <c r="J42" t="s">
        <v>35</v>
      </c>
      <c r="K42" t="s">
        <v>46</v>
      </c>
    </row>
    <row r="43" spans="8:26">
      <c r="H43" t="s">
        <v>47</v>
      </c>
      <c r="I43" t="s">
        <v>48</v>
      </c>
      <c r="J43" t="s">
        <v>49</v>
      </c>
      <c r="K43" t="s">
        <v>50</v>
      </c>
    </row>
    <row r="44" spans="8:26">
      <c r="H44" t="s">
        <v>51</v>
      </c>
      <c r="I44" t="s">
        <v>48</v>
      </c>
      <c r="J44" t="s">
        <v>52</v>
      </c>
      <c r="K44" t="s">
        <v>53</v>
      </c>
    </row>
    <row r="45" spans="8:26">
      <c r="H45" t="s">
        <v>54</v>
      </c>
      <c r="I45" t="s">
        <v>55</v>
      </c>
      <c r="J45" t="s">
        <v>56</v>
      </c>
      <c r="K45" t="s">
        <v>57</v>
      </c>
    </row>
    <row r="47" spans="8:26">
      <c r="H47" s="2" t="s">
        <v>58</v>
      </c>
      <c r="I47" s="2"/>
      <c r="J47" s="2"/>
      <c r="K47" s="2"/>
      <c r="L47" s="2"/>
      <c r="M47" s="2"/>
    </row>
    <row r="48" spans="8:26">
      <c r="H48" s="11" t="s">
        <v>9</v>
      </c>
      <c r="I48" s="11" t="s">
        <v>10</v>
      </c>
      <c r="J48" s="11" t="s">
        <v>11</v>
      </c>
      <c r="K48" s="11" t="s">
        <v>12</v>
      </c>
      <c r="L48" s="11"/>
    </row>
    <row r="49" spans="8:13">
      <c r="H49" t="s">
        <v>59</v>
      </c>
      <c r="I49" t="s">
        <v>60</v>
      </c>
      <c r="J49" t="s">
        <v>61</v>
      </c>
      <c r="K49" t="s">
        <v>19</v>
      </c>
    </row>
    <row r="50" spans="8:13">
      <c r="H50" t="s">
        <v>62</v>
      </c>
      <c r="I50" t="s">
        <v>63</v>
      </c>
      <c r="J50" t="s">
        <v>64</v>
      </c>
      <c r="K50" t="s">
        <v>65</v>
      </c>
    </row>
    <row r="51" spans="8:13">
      <c r="H51" t="s">
        <v>66</v>
      </c>
      <c r="I51" t="s">
        <v>42</v>
      </c>
      <c r="J51" t="s">
        <v>35</v>
      </c>
      <c r="K51" t="s">
        <v>57</v>
      </c>
    </row>
    <row r="52" spans="8:13">
      <c r="H52" t="s">
        <v>67</v>
      </c>
      <c r="I52" t="s">
        <v>42</v>
      </c>
      <c r="J52" t="s">
        <v>35</v>
      </c>
      <c r="K52" t="s">
        <v>57</v>
      </c>
    </row>
    <row r="54" spans="8:13">
      <c r="H54" s="2" t="s">
        <v>68</v>
      </c>
      <c r="I54" s="2"/>
      <c r="J54" s="2"/>
      <c r="K54" s="2"/>
      <c r="L54" s="2"/>
      <c r="M54" s="2"/>
    </row>
    <row r="55" spans="8:13">
      <c r="H55" s="11" t="s">
        <v>9</v>
      </c>
      <c r="I55" s="11" t="s">
        <v>10</v>
      </c>
      <c r="J55" s="11" t="s">
        <v>11</v>
      </c>
      <c r="K55" s="11" t="s">
        <v>12</v>
      </c>
      <c r="L55" s="11"/>
    </row>
    <row r="56" spans="8:13">
      <c r="H56" t="s">
        <v>69</v>
      </c>
      <c r="I56" t="s">
        <v>70</v>
      </c>
      <c r="J56" t="s">
        <v>71</v>
      </c>
      <c r="K56" t="s">
        <v>19</v>
      </c>
    </row>
    <row r="57" spans="8:13">
      <c r="H57" t="s">
        <v>72</v>
      </c>
      <c r="I57" t="s">
        <v>73</v>
      </c>
      <c r="J57" t="s">
        <v>74</v>
      </c>
      <c r="K57" t="s">
        <v>75</v>
      </c>
    </row>
    <row r="59" spans="8:13">
      <c r="H59" s="2" t="s">
        <v>76</v>
      </c>
      <c r="I59" s="2"/>
      <c r="J59" s="2"/>
      <c r="K59" s="2"/>
      <c r="L59" s="2"/>
      <c r="M59" s="2"/>
    </row>
    <row r="60" spans="8:13">
      <c r="H60" s="11" t="s">
        <v>9</v>
      </c>
      <c r="I60" s="11" t="s">
        <v>10</v>
      </c>
      <c r="J60" s="11" t="s">
        <v>11</v>
      </c>
      <c r="K60" s="11" t="s">
        <v>12</v>
      </c>
    </row>
    <row r="61" spans="8:13">
      <c r="H61" t="s">
        <v>77</v>
      </c>
      <c r="I61" t="s">
        <v>63</v>
      </c>
      <c r="J61" t="s">
        <v>35</v>
      </c>
      <c r="K61" t="s">
        <v>78</v>
      </c>
    </row>
    <row r="62" spans="8:13">
      <c r="H62" t="s">
        <v>79</v>
      </c>
      <c r="I62" t="s">
        <v>80</v>
      </c>
      <c r="J62" t="s">
        <v>81</v>
      </c>
      <c r="K62" t="s">
        <v>19</v>
      </c>
    </row>
    <row r="63" spans="8:13">
      <c r="H63" t="s">
        <v>82</v>
      </c>
      <c r="I63" t="s">
        <v>83</v>
      </c>
      <c r="J63" t="s">
        <v>30</v>
      </c>
      <c r="K63" t="s">
        <v>19</v>
      </c>
    </row>
  </sheetData>
  <mergeCells count="5">
    <mergeCell ref="H31:M31"/>
    <mergeCell ref="H39:M39"/>
    <mergeCell ref="H47:M47"/>
    <mergeCell ref="H54:M54"/>
    <mergeCell ref="H59:M59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O108"/>
  <sheetViews>
    <sheetView topLeftCell="A19" workbookViewId="0">
      <selection activeCell="A1" sqref="$A1:$XFD4"/>
    </sheetView>
  </sheetViews>
  <sheetFormatPr defaultColWidth="9" defaultRowHeight="13.5"/>
  <cols>
    <col min="1" max="1" width="15.775" customWidth="1"/>
    <col min="3" max="3" width="40.8833333333333" customWidth="1"/>
    <col min="4" max="4" width="12.8833333333333" customWidth="1"/>
    <col min="5" max="5" width="10.6666666666667" customWidth="1"/>
    <col min="9" max="9" width="12.6666666666667"/>
    <col min="10" max="16" width="10.6666666666667" customWidth="1"/>
  </cols>
  <sheetData>
    <row r="2" spans="1:15">
      <c r="A2" s="2" t="s">
        <v>84</v>
      </c>
      <c r="B2" s="2" t="s">
        <v>85</v>
      </c>
      <c r="C2" s="2" t="s">
        <v>9</v>
      </c>
      <c r="D2" s="2"/>
      <c r="E2" s="2"/>
      <c r="F2" s="2"/>
      <c r="G2" s="2"/>
      <c r="H2" s="2"/>
    </row>
    <row r="3" spans="1:15">
      <c r="A3" s="2" t="s">
        <v>86</v>
      </c>
      <c r="B3" s="2" t="s">
        <v>87</v>
      </c>
      <c r="C3" t="s">
        <v>88</v>
      </c>
      <c r="D3" t="s">
        <v>89</v>
      </c>
      <c r="E3" t="s">
        <v>90</v>
      </c>
      <c r="F3" t="s">
        <v>91</v>
      </c>
      <c r="G3" t="s">
        <v>92</v>
      </c>
      <c r="H3" t="s">
        <v>93</v>
      </c>
      <c r="J3" s="9"/>
    </row>
    <row r="4" spans="1:15">
      <c r="A4" s="2"/>
      <c r="B4" s="2" t="s">
        <v>94</v>
      </c>
      <c r="C4" t="s">
        <v>95</v>
      </c>
      <c r="D4" t="s">
        <v>96</v>
      </c>
      <c r="E4" t="s">
        <v>97</v>
      </c>
      <c r="F4" t="s">
        <v>98</v>
      </c>
      <c r="G4" t="s">
        <v>99</v>
      </c>
      <c r="H4" t="s">
        <v>100</v>
      </c>
      <c r="J4" s="9"/>
    </row>
    <row r="5" spans="1:15">
      <c r="A5" s="2"/>
      <c r="B5" s="2" t="s">
        <v>101</v>
      </c>
      <c r="C5" t="s">
        <v>102</v>
      </c>
      <c r="D5" t="s">
        <v>103</v>
      </c>
      <c r="E5" t="s">
        <v>104</v>
      </c>
      <c r="F5" t="s">
        <v>105</v>
      </c>
      <c r="G5" t="s">
        <v>106</v>
      </c>
      <c r="H5" t="s">
        <v>107</v>
      </c>
      <c r="J5" s="9"/>
    </row>
    <row r="6" spans="1:15">
      <c r="A6" s="2"/>
      <c r="B6" s="2" t="s">
        <v>108</v>
      </c>
      <c r="C6" t="s">
        <v>109</v>
      </c>
      <c r="D6" t="s">
        <v>110</v>
      </c>
      <c r="J6" s="9"/>
    </row>
    <row r="7" spans="1:15">
      <c r="A7" s="2"/>
      <c r="B7" s="2"/>
      <c r="J7" s="9"/>
    </row>
    <row r="8" spans="1:15">
      <c r="A8" s="2" t="s">
        <v>111</v>
      </c>
      <c r="B8" s="2" t="s">
        <v>85</v>
      </c>
      <c r="C8" s="2" t="s">
        <v>9</v>
      </c>
      <c r="D8" s="2"/>
      <c r="E8" s="2"/>
      <c r="F8" s="2"/>
      <c r="G8" s="2"/>
      <c r="H8" s="2"/>
      <c r="J8" s="9"/>
    </row>
    <row r="9" spans="1:15">
      <c r="A9" s="2" t="s">
        <v>112</v>
      </c>
      <c r="B9" s="2" t="s">
        <v>87</v>
      </c>
      <c r="C9" t="s">
        <v>16</v>
      </c>
      <c r="D9" t="s">
        <v>22</v>
      </c>
      <c r="E9" t="s">
        <v>31</v>
      </c>
      <c r="F9" t="s">
        <v>113</v>
      </c>
      <c r="G9" t="s">
        <v>114</v>
      </c>
      <c r="J9" s="9"/>
    </row>
    <row r="10" spans="1:15">
      <c r="A10" s="2"/>
      <c r="B10" s="2" t="s">
        <v>94</v>
      </c>
      <c r="C10" t="s">
        <v>115</v>
      </c>
      <c r="D10" t="s">
        <v>116</v>
      </c>
      <c r="E10" t="s">
        <v>117</v>
      </c>
      <c r="F10" t="s">
        <v>118</v>
      </c>
      <c r="J10" s="9"/>
      <c r="O10" s="6"/>
    </row>
    <row r="11" spans="1:15">
      <c r="A11" s="2"/>
      <c r="B11" s="2" t="s">
        <v>101</v>
      </c>
      <c r="C11" t="s">
        <v>119</v>
      </c>
      <c r="D11" t="s">
        <v>120</v>
      </c>
      <c r="E11" t="s">
        <v>121</v>
      </c>
      <c r="F11" t="s">
        <v>122</v>
      </c>
      <c r="J11" s="9"/>
      <c r="O11" s="6"/>
    </row>
    <row r="12" spans="1:15">
      <c r="A12" s="2"/>
      <c r="B12" s="2" t="s">
        <v>108</v>
      </c>
      <c r="C12" t="s">
        <v>123</v>
      </c>
      <c r="J12" s="9"/>
      <c r="O12" s="6"/>
    </row>
    <row r="13" spans="1:15">
      <c r="A13" s="2"/>
      <c r="B13" s="2"/>
      <c r="J13" s="9"/>
      <c r="O13" s="6"/>
    </row>
    <row r="14" spans="1:15">
      <c r="A14" s="2"/>
      <c r="B14" s="2"/>
      <c r="J14" s="9"/>
      <c r="O14" s="6"/>
    </row>
    <row r="15" spans="1:15">
      <c r="A15" s="2" t="s">
        <v>124</v>
      </c>
      <c r="B15" s="2" t="s">
        <v>85</v>
      </c>
      <c r="C15" s="2" t="s">
        <v>9</v>
      </c>
      <c r="D15" s="2"/>
      <c r="E15" s="2"/>
      <c r="F15" s="2"/>
      <c r="G15" s="2"/>
      <c r="H15" s="2"/>
      <c r="J15" s="9"/>
      <c r="O15" s="6"/>
    </row>
    <row r="16" spans="1:15">
      <c r="A16" s="2" t="s">
        <v>125</v>
      </c>
      <c r="B16" s="2" t="s">
        <v>87</v>
      </c>
      <c r="C16" t="s">
        <v>126</v>
      </c>
      <c r="D16" t="s">
        <v>41</v>
      </c>
      <c r="E16" t="s">
        <v>51</v>
      </c>
      <c r="F16" t="s">
        <v>127</v>
      </c>
      <c r="G16" t="s">
        <v>128</v>
      </c>
      <c r="J16" s="9"/>
    </row>
    <row r="17" spans="1:13">
      <c r="A17" s="2"/>
      <c r="B17" s="2" t="s">
        <v>101</v>
      </c>
      <c r="C17" t="s">
        <v>129</v>
      </c>
      <c r="J17" s="9"/>
      <c r="L17" s="2"/>
      <c r="M17" s="2"/>
    </row>
    <row r="18" spans="1:13">
      <c r="A18" s="2"/>
      <c r="B18" s="2" t="s">
        <v>108</v>
      </c>
      <c r="C18" t="s">
        <v>130</v>
      </c>
      <c r="J18" s="9"/>
    </row>
    <row r="19" spans="1:13">
      <c r="A19" s="2"/>
      <c r="B19" s="2"/>
      <c r="J19" s="9"/>
    </row>
    <row r="20" spans="1:13">
      <c r="A20" s="2" t="s">
        <v>131</v>
      </c>
      <c r="B20" s="2" t="s">
        <v>85</v>
      </c>
      <c r="C20" s="2" t="s">
        <v>9</v>
      </c>
      <c r="D20" s="2"/>
      <c r="E20" s="2"/>
      <c r="F20" s="2"/>
      <c r="G20" s="2"/>
      <c r="H20" s="2"/>
      <c r="J20" s="9"/>
    </row>
    <row r="21" spans="1:13">
      <c r="A21" s="2" t="s">
        <v>132</v>
      </c>
      <c r="B21" s="2" t="s">
        <v>87</v>
      </c>
      <c r="C21" t="s">
        <v>59</v>
      </c>
      <c r="D21" t="s">
        <v>62</v>
      </c>
      <c r="E21" t="s">
        <v>66</v>
      </c>
      <c r="F21" t="s">
        <v>67</v>
      </c>
      <c r="J21" s="9"/>
    </row>
    <row r="22" spans="1:13">
      <c r="A22" s="2"/>
      <c r="B22" s="2"/>
      <c r="C22" t="s">
        <v>133</v>
      </c>
      <c r="D22" t="s">
        <v>134</v>
      </c>
      <c r="E22" t="s">
        <v>135</v>
      </c>
      <c r="F22" t="s">
        <v>54</v>
      </c>
      <c r="G22" t="s">
        <v>136</v>
      </c>
      <c r="J22" s="9"/>
    </row>
    <row r="23" spans="1:13">
      <c r="A23" s="2"/>
      <c r="B23" s="2"/>
      <c r="J23" s="9"/>
    </row>
    <row r="24" spans="1:13">
      <c r="A24" s="2" t="s">
        <v>137</v>
      </c>
      <c r="B24" s="2" t="s">
        <v>85</v>
      </c>
      <c r="C24" s="2" t="s">
        <v>9</v>
      </c>
      <c r="D24" s="2"/>
      <c r="E24" s="2"/>
      <c r="F24" s="2"/>
      <c r="G24" s="2"/>
      <c r="H24" s="2"/>
      <c r="J24" s="9"/>
    </row>
    <row r="25" spans="1:13">
      <c r="A25" s="2" t="s">
        <v>138</v>
      </c>
      <c r="B25" s="2" t="s">
        <v>87</v>
      </c>
      <c r="C25" t="s">
        <v>69</v>
      </c>
      <c r="D25" t="s">
        <v>72</v>
      </c>
      <c r="J25" s="9"/>
    </row>
    <row r="26" spans="1:13">
      <c r="A26" s="2"/>
      <c r="B26" s="2"/>
      <c r="J26" s="9"/>
    </row>
    <row r="27" spans="1:13">
      <c r="A27" s="2" t="s">
        <v>139</v>
      </c>
      <c r="B27" s="2" t="s">
        <v>85</v>
      </c>
      <c r="C27" t="s">
        <v>9</v>
      </c>
      <c r="J27" s="9"/>
    </row>
    <row r="28" spans="1:13">
      <c r="A28" s="2" t="s">
        <v>140</v>
      </c>
      <c r="B28" s="2" t="s">
        <v>87</v>
      </c>
      <c r="C28" t="s">
        <v>77</v>
      </c>
      <c r="D28" t="s">
        <v>79</v>
      </c>
      <c r="E28" t="s">
        <v>141</v>
      </c>
      <c r="F28" t="s">
        <v>142</v>
      </c>
      <c r="J28" s="9"/>
    </row>
    <row r="29" spans="1:13">
      <c r="A29" s="2"/>
      <c r="B29" s="2" t="s">
        <v>94</v>
      </c>
      <c r="C29" t="s">
        <v>143</v>
      </c>
      <c r="J29" s="9"/>
    </row>
    <row r="30" spans="1:13">
      <c r="A30" s="2"/>
      <c r="B30" s="2"/>
      <c r="J30" s="9"/>
    </row>
    <row r="31" spans="1:13">
      <c r="A31" s="2" t="s">
        <v>144</v>
      </c>
      <c r="B31" s="2" t="s">
        <v>85</v>
      </c>
      <c r="C31" s="2" t="s">
        <v>9</v>
      </c>
      <c r="D31" s="2"/>
      <c r="E31" s="2"/>
      <c r="F31" s="2"/>
      <c r="G31" s="2"/>
      <c r="H31" s="2"/>
      <c r="J31" s="9"/>
    </row>
    <row r="32" spans="1:13">
      <c r="A32" s="2" t="s">
        <v>145</v>
      </c>
      <c r="B32" s="2" t="s">
        <v>94</v>
      </c>
      <c r="C32" t="s">
        <v>146</v>
      </c>
      <c r="J32" s="9"/>
    </row>
    <row r="33" spans="1:10">
      <c r="A33" s="2"/>
      <c r="B33" s="2"/>
      <c r="J33" s="9"/>
    </row>
    <row r="34" spans="1:10">
      <c r="A34" s="2" t="s">
        <v>147</v>
      </c>
      <c r="B34" s="2" t="s">
        <v>85</v>
      </c>
      <c r="C34" s="2" t="s">
        <v>9</v>
      </c>
      <c r="D34" s="2"/>
      <c r="E34" s="2"/>
      <c r="F34" s="2"/>
      <c r="G34" s="2"/>
      <c r="H34" s="2"/>
      <c r="J34" s="9"/>
    </row>
    <row r="35" spans="1:10">
      <c r="A35" s="2" t="s">
        <v>148</v>
      </c>
      <c r="B35" s="2" t="s">
        <v>87</v>
      </c>
      <c r="C35" t="s">
        <v>149</v>
      </c>
      <c r="D35" t="s">
        <v>150</v>
      </c>
      <c r="E35" t="s">
        <v>151</v>
      </c>
      <c r="F35" t="s">
        <v>152</v>
      </c>
      <c r="J35" s="9"/>
    </row>
    <row r="36" spans="1:10">
      <c r="A36" s="2"/>
      <c r="B36" s="2"/>
      <c r="C36" t="s">
        <v>153</v>
      </c>
      <c r="D36" t="s">
        <v>154</v>
      </c>
      <c r="E36" t="s">
        <v>155</v>
      </c>
      <c r="F36" t="s">
        <v>156</v>
      </c>
      <c r="J36" s="9"/>
    </row>
    <row r="37" spans="1:10">
      <c r="A37" s="2"/>
      <c r="B37" s="2"/>
      <c r="C37" t="s">
        <v>157</v>
      </c>
      <c r="D37" t="s">
        <v>158</v>
      </c>
      <c r="J37" s="9"/>
    </row>
    <row r="38" spans="1:10">
      <c r="A38" s="2"/>
      <c r="B38" s="2"/>
      <c r="J38" s="9"/>
    </row>
    <row r="39" spans="1:10">
      <c r="J39" s="9"/>
    </row>
    <row r="40" spans="1:10">
      <c r="A40" t="s">
        <v>9</v>
      </c>
      <c r="B40" t="s">
        <v>159</v>
      </c>
      <c r="C40" t="s">
        <v>160</v>
      </c>
      <c r="D40" t="s">
        <v>161</v>
      </c>
      <c r="E40" t="s">
        <v>162</v>
      </c>
      <c r="J40" s="9"/>
    </row>
    <row r="41" spans="1:10">
      <c r="A41" t="s">
        <v>88</v>
      </c>
      <c r="B41" t="s">
        <v>163</v>
      </c>
      <c r="C41" t="s">
        <v>164</v>
      </c>
      <c r="J41" s="9"/>
    </row>
    <row r="42" spans="1:10">
      <c r="A42" t="s">
        <v>89</v>
      </c>
      <c r="B42" t="s">
        <v>163</v>
      </c>
      <c r="C42" t="s">
        <v>165</v>
      </c>
      <c r="J42" s="9"/>
    </row>
    <row r="43" spans="1:10">
      <c r="A43" t="s">
        <v>90</v>
      </c>
      <c r="B43" t="s">
        <v>163</v>
      </c>
      <c r="C43" t="s">
        <v>166</v>
      </c>
      <c r="J43" s="9"/>
    </row>
    <row r="44" spans="1:10">
      <c r="A44" t="s">
        <v>91</v>
      </c>
      <c r="B44" t="s">
        <v>163</v>
      </c>
      <c r="C44" t="s">
        <v>167</v>
      </c>
      <c r="I44" t="s">
        <v>168</v>
      </c>
      <c r="J44" s="9"/>
    </row>
    <row r="45" spans="1:10">
      <c r="A45" t="s">
        <v>92</v>
      </c>
      <c r="B45" t="s">
        <v>163</v>
      </c>
      <c r="C45" t="s">
        <v>169</v>
      </c>
      <c r="I45" t="s">
        <v>170</v>
      </c>
      <c r="J45" s="9"/>
    </row>
    <row r="46" spans="1:10">
      <c r="A46" t="s">
        <v>93</v>
      </c>
      <c r="B46" t="s">
        <v>163</v>
      </c>
      <c r="C46" t="s">
        <v>171</v>
      </c>
      <c r="I46" t="s">
        <v>172</v>
      </c>
      <c r="J46" s="9"/>
    </row>
    <row r="47" spans="1:10">
      <c r="A47" t="s">
        <v>95</v>
      </c>
      <c r="B47" t="s">
        <v>173</v>
      </c>
      <c r="C47" t="s">
        <v>174</v>
      </c>
      <c r="D47" s="4">
        <v>1</v>
      </c>
      <c r="I47" t="s">
        <v>175</v>
      </c>
      <c r="J47" s="9"/>
    </row>
    <row r="48" spans="1:10">
      <c r="A48" t="s">
        <v>96</v>
      </c>
      <c r="B48" t="s">
        <v>173</v>
      </c>
      <c r="C48" t="s">
        <v>176</v>
      </c>
      <c r="D48" s="4">
        <v>1</v>
      </c>
      <c r="I48" t="s">
        <v>177</v>
      </c>
      <c r="J48" s="9"/>
    </row>
    <row r="49" spans="1:10">
      <c r="A49" t="s">
        <v>97</v>
      </c>
      <c r="B49" t="s">
        <v>173</v>
      </c>
      <c r="C49" t="s">
        <v>178</v>
      </c>
      <c r="D49" s="4">
        <v>1</v>
      </c>
      <c r="I49" t="s">
        <v>175</v>
      </c>
      <c r="J49" s="9"/>
    </row>
    <row r="50" spans="1:10">
      <c r="A50" t="s">
        <v>98</v>
      </c>
      <c r="B50" t="s">
        <v>173</v>
      </c>
      <c r="C50" t="s">
        <v>179</v>
      </c>
      <c r="D50" s="4">
        <v>1</v>
      </c>
      <c r="I50" t="s">
        <v>175</v>
      </c>
      <c r="J50" s="9"/>
    </row>
    <row r="51" spans="1:10">
      <c r="A51" t="s">
        <v>99</v>
      </c>
      <c r="B51" t="s">
        <v>173</v>
      </c>
      <c r="C51" t="s">
        <v>180</v>
      </c>
      <c r="D51" s="4">
        <v>1</v>
      </c>
      <c r="I51" t="s">
        <v>175</v>
      </c>
      <c r="J51" s="9"/>
    </row>
    <row r="52" spans="1:10">
      <c r="A52" t="s">
        <v>100</v>
      </c>
      <c r="B52" t="s">
        <v>173</v>
      </c>
      <c r="C52" t="s">
        <v>181</v>
      </c>
      <c r="D52" s="4">
        <v>1</v>
      </c>
      <c r="I52" t="s">
        <v>175</v>
      </c>
      <c r="J52" s="9"/>
    </row>
    <row r="53" spans="1:10">
      <c r="A53" t="s">
        <v>102</v>
      </c>
      <c r="B53" t="s">
        <v>173</v>
      </c>
      <c r="C53" t="s">
        <v>182</v>
      </c>
      <c r="D53" s="4">
        <v>0.6</v>
      </c>
      <c r="J53" s="9"/>
    </row>
    <row r="54" spans="1:10">
      <c r="A54" t="s">
        <v>103</v>
      </c>
      <c r="B54" t="s">
        <v>173</v>
      </c>
      <c r="C54" t="s">
        <v>183</v>
      </c>
      <c r="D54" s="4">
        <v>0.6</v>
      </c>
      <c r="J54" s="9"/>
    </row>
    <row r="55" spans="1:10">
      <c r="A55" t="s">
        <v>104</v>
      </c>
      <c r="B55" t="s">
        <v>173</v>
      </c>
      <c r="C55" t="s">
        <v>184</v>
      </c>
      <c r="D55" s="4">
        <v>0.6</v>
      </c>
      <c r="J55" s="9"/>
    </row>
    <row r="56" spans="1:10">
      <c r="A56" t="s">
        <v>105</v>
      </c>
      <c r="B56" t="s">
        <v>173</v>
      </c>
      <c r="C56" t="s">
        <v>185</v>
      </c>
      <c r="D56" s="4">
        <v>0.6</v>
      </c>
      <c r="I56" t="s">
        <v>170</v>
      </c>
      <c r="J56" s="9"/>
    </row>
    <row r="57" spans="1:10">
      <c r="A57" t="s">
        <v>106</v>
      </c>
      <c r="B57" t="s">
        <v>173</v>
      </c>
      <c r="C57" t="s">
        <v>186</v>
      </c>
      <c r="D57" s="4">
        <v>0.6</v>
      </c>
      <c r="I57" t="s">
        <v>170</v>
      </c>
      <c r="J57" s="9"/>
    </row>
    <row r="58" spans="1:10">
      <c r="A58" t="s">
        <v>107</v>
      </c>
      <c r="B58" t="s">
        <v>173</v>
      </c>
      <c r="C58" t="s">
        <v>187</v>
      </c>
      <c r="D58" s="4">
        <v>0.6</v>
      </c>
      <c r="I58" t="s">
        <v>170</v>
      </c>
      <c r="J58" s="9"/>
    </row>
    <row r="59" spans="1:10">
      <c r="A59" t="s">
        <v>109</v>
      </c>
      <c r="B59" t="s">
        <v>173</v>
      </c>
      <c r="C59" t="s">
        <v>188</v>
      </c>
      <c r="D59" s="4">
        <v>0.6</v>
      </c>
      <c r="J59" s="9"/>
    </row>
    <row r="60" spans="1:10">
      <c r="A60" t="s">
        <v>110</v>
      </c>
      <c r="B60" t="s">
        <v>173</v>
      </c>
      <c r="C60" t="s">
        <v>189</v>
      </c>
      <c r="D60" s="4">
        <v>0.6</v>
      </c>
      <c r="J60" s="9"/>
    </row>
    <row r="61" spans="1:10">
      <c r="A61" t="s">
        <v>16</v>
      </c>
      <c r="B61" t="s">
        <v>173</v>
      </c>
      <c r="C61" t="s">
        <v>190</v>
      </c>
      <c r="D61" s="4">
        <v>1</v>
      </c>
      <c r="E61" t="s">
        <v>191</v>
      </c>
      <c r="F61" t="s">
        <v>30</v>
      </c>
      <c r="G61" t="s">
        <v>39</v>
      </c>
      <c r="H61" t="s">
        <v>192</v>
      </c>
      <c r="J61" s="9"/>
    </row>
    <row r="62" spans="1:10">
      <c r="A62" t="s">
        <v>22</v>
      </c>
      <c r="B62" t="s">
        <v>173</v>
      </c>
      <c r="C62" t="s">
        <v>193</v>
      </c>
      <c r="D62" s="4">
        <v>3</v>
      </c>
      <c r="E62" t="s">
        <v>191</v>
      </c>
      <c r="F62" t="s">
        <v>30</v>
      </c>
      <c r="G62" t="s">
        <v>39</v>
      </c>
      <c r="I62" t="s">
        <v>170</v>
      </c>
      <c r="J62" s="9"/>
    </row>
    <row r="63" spans="1:10">
      <c r="A63" t="s">
        <v>31</v>
      </c>
      <c r="B63" t="s">
        <v>173</v>
      </c>
      <c r="C63" t="s">
        <v>194</v>
      </c>
      <c r="D63" s="4">
        <v>1.2</v>
      </c>
      <c r="E63" t="s">
        <v>191</v>
      </c>
      <c r="J63" s="9"/>
    </row>
    <row r="64" spans="1:10">
      <c r="A64" t="s">
        <v>113</v>
      </c>
      <c r="B64" t="s">
        <v>173</v>
      </c>
      <c r="C64" t="s">
        <v>195</v>
      </c>
      <c r="D64" s="4">
        <v>0.8</v>
      </c>
      <c r="J64" s="9"/>
    </row>
    <row r="65" spans="1:10">
      <c r="A65" t="s">
        <v>114</v>
      </c>
      <c r="B65" t="s">
        <v>173</v>
      </c>
      <c r="C65" t="s">
        <v>196</v>
      </c>
      <c r="D65">
        <v>1000</v>
      </c>
      <c r="I65" t="s">
        <v>170</v>
      </c>
      <c r="J65" s="9"/>
    </row>
    <row r="66" spans="1:10">
      <c r="A66" t="s">
        <v>115</v>
      </c>
      <c r="B66" t="s">
        <v>173</v>
      </c>
      <c r="C66" t="s">
        <v>197</v>
      </c>
      <c r="D66" s="4">
        <v>1.5</v>
      </c>
      <c r="J66" s="9"/>
    </row>
    <row r="67" spans="1:10">
      <c r="A67" t="s">
        <v>116</v>
      </c>
      <c r="B67" t="s">
        <v>173</v>
      </c>
      <c r="C67" t="s">
        <v>198</v>
      </c>
      <c r="D67" s="4">
        <v>1</v>
      </c>
      <c r="I67" t="s">
        <v>199</v>
      </c>
      <c r="J67" s="9"/>
    </row>
    <row r="68" spans="1:10">
      <c r="A68" t="s">
        <v>117</v>
      </c>
      <c r="B68" t="s">
        <v>173</v>
      </c>
      <c r="C68" t="s">
        <v>200</v>
      </c>
      <c r="D68" s="4">
        <v>0.5</v>
      </c>
      <c r="J68" s="9"/>
    </row>
    <row r="69" spans="1:10">
      <c r="A69" t="s">
        <v>118</v>
      </c>
      <c r="B69" t="s">
        <v>173</v>
      </c>
      <c r="C69" t="s">
        <v>201</v>
      </c>
      <c r="D69" s="4">
        <v>1.5</v>
      </c>
      <c r="I69" t="s">
        <v>170</v>
      </c>
      <c r="J69" s="9"/>
    </row>
    <row r="70" spans="1:10">
      <c r="A70" t="s">
        <v>119</v>
      </c>
      <c r="B70" t="s">
        <v>173</v>
      </c>
      <c r="C70" t="s">
        <v>202</v>
      </c>
      <c r="D70" s="4">
        <v>1.5</v>
      </c>
      <c r="J70" s="9"/>
    </row>
    <row r="71" spans="1:10">
      <c r="A71" t="s">
        <v>120</v>
      </c>
      <c r="B71" t="s">
        <v>173</v>
      </c>
      <c r="C71" t="s">
        <v>203</v>
      </c>
      <c r="D71" s="4">
        <v>1.5</v>
      </c>
      <c r="I71" t="s">
        <v>170</v>
      </c>
      <c r="J71" s="9"/>
    </row>
    <row r="72" spans="1:10">
      <c r="A72" t="s">
        <v>121</v>
      </c>
      <c r="B72" t="s">
        <v>173</v>
      </c>
      <c r="C72" t="s">
        <v>204</v>
      </c>
      <c r="D72" s="4">
        <v>1.5</v>
      </c>
    </row>
    <row r="73" spans="1:10">
      <c r="A73" t="s">
        <v>122</v>
      </c>
      <c r="B73" t="s">
        <v>173</v>
      </c>
      <c r="C73" t="s">
        <v>205</v>
      </c>
      <c r="D73" s="4">
        <v>1.5</v>
      </c>
    </row>
    <row r="74" spans="1:10">
      <c r="A74" t="s">
        <v>123</v>
      </c>
      <c r="B74" t="s">
        <v>173</v>
      </c>
      <c r="C74" t="s">
        <v>206</v>
      </c>
      <c r="D74" s="4">
        <v>1.5</v>
      </c>
    </row>
    <row r="75" spans="1:10">
      <c r="A75" t="s">
        <v>126</v>
      </c>
      <c r="B75" t="s">
        <v>163</v>
      </c>
      <c r="C75" t="s">
        <v>207</v>
      </c>
    </row>
    <row r="76" spans="1:10">
      <c r="A76" t="s">
        <v>41</v>
      </c>
      <c r="B76" t="s">
        <v>173</v>
      </c>
      <c r="C76" t="s">
        <v>208</v>
      </c>
      <c r="D76" s="4">
        <v>0.6</v>
      </c>
    </row>
    <row r="77" spans="1:10">
      <c r="A77" t="s">
        <v>51</v>
      </c>
      <c r="B77" t="s">
        <v>173</v>
      </c>
      <c r="C77" t="s">
        <v>209</v>
      </c>
      <c r="D77" s="4">
        <v>0.7</v>
      </c>
    </row>
    <row r="78" spans="1:10">
      <c r="A78" t="s">
        <v>127</v>
      </c>
      <c r="B78" t="s">
        <v>173</v>
      </c>
      <c r="C78" t="s">
        <v>210</v>
      </c>
      <c r="D78" s="4">
        <v>0.2</v>
      </c>
    </row>
    <row r="79" spans="1:10">
      <c r="A79" t="s">
        <v>128</v>
      </c>
      <c r="B79" t="s">
        <v>163</v>
      </c>
      <c r="C79" t="s">
        <v>211</v>
      </c>
      <c r="D79">
        <v>500</v>
      </c>
    </row>
    <row r="80" spans="1:10">
      <c r="A80" t="s">
        <v>129</v>
      </c>
      <c r="B80" t="s">
        <v>173</v>
      </c>
      <c r="C80" t="s">
        <v>212</v>
      </c>
      <c r="D80" s="4">
        <v>0.5</v>
      </c>
    </row>
    <row r="81" spans="1:8">
      <c r="A81" t="s">
        <v>130</v>
      </c>
      <c r="B81" t="s">
        <v>173</v>
      </c>
      <c r="C81" t="s">
        <v>213</v>
      </c>
      <c r="D81" s="4">
        <v>0.4</v>
      </c>
      <c r="E81" t="s">
        <v>214</v>
      </c>
      <c r="F81" t="s">
        <v>215</v>
      </c>
      <c r="G81" t="s">
        <v>216</v>
      </c>
      <c r="H81" t="s">
        <v>217</v>
      </c>
    </row>
    <row r="82" spans="1:8">
      <c r="A82" t="s">
        <v>59</v>
      </c>
      <c r="B82" t="s">
        <v>173</v>
      </c>
      <c r="C82" t="s">
        <v>218</v>
      </c>
      <c r="D82" s="4">
        <v>0.5</v>
      </c>
      <c r="E82" t="s">
        <v>219</v>
      </c>
      <c r="F82" t="s">
        <v>220</v>
      </c>
      <c r="G82" t="s">
        <v>221</v>
      </c>
      <c r="H82" t="s">
        <v>222</v>
      </c>
    </row>
    <row r="83" spans="1:8">
      <c r="A83" t="s">
        <v>62</v>
      </c>
      <c r="B83" t="s">
        <v>173</v>
      </c>
      <c r="C83" t="s">
        <v>223</v>
      </c>
      <c r="D83" s="4">
        <v>0.5</v>
      </c>
      <c r="E83" t="s">
        <v>224</v>
      </c>
      <c r="F83" t="s">
        <v>225</v>
      </c>
      <c r="G83" t="s">
        <v>226</v>
      </c>
      <c r="H83" t="s">
        <v>227</v>
      </c>
    </row>
    <row r="84" spans="1:8">
      <c r="A84" t="s">
        <v>66</v>
      </c>
      <c r="B84" t="s">
        <v>173</v>
      </c>
      <c r="C84" t="s">
        <v>228</v>
      </c>
      <c r="D84" s="4">
        <v>0.55</v>
      </c>
      <c r="E84" t="s">
        <v>214</v>
      </c>
      <c r="F84" t="s">
        <v>215</v>
      </c>
      <c r="G84" t="s">
        <v>216</v>
      </c>
      <c r="H84" t="s">
        <v>217</v>
      </c>
    </row>
    <row r="85" spans="1:8">
      <c r="A85" t="s">
        <v>67</v>
      </c>
      <c r="B85" t="s">
        <v>173</v>
      </c>
      <c r="C85" t="s">
        <v>229</v>
      </c>
      <c r="D85" s="4">
        <v>0.92</v>
      </c>
      <c r="E85" t="s">
        <v>230</v>
      </c>
      <c r="F85" t="s">
        <v>231</v>
      </c>
      <c r="G85" t="s">
        <v>232</v>
      </c>
      <c r="H85" t="s">
        <v>227</v>
      </c>
    </row>
    <row r="86" spans="1:8">
      <c r="A86" t="s">
        <v>133</v>
      </c>
      <c r="B86" t="s">
        <v>173</v>
      </c>
      <c r="C86" t="s">
        <v>233</v>
      </c>
      <c r="D86" s="4">
        <v>0.62</v>
      </c>
      <c r="E86" t="s">
        <v>234</v>
      </c>
      <c r="F86" t="s">
        <v>225</v>
      </c>
      <c r="G86" t="s">
        <v>235</v>
      </c>
      <c r="H86" t="s">
        <v>217</v>
      </c>
    </row>
    <row r="87" spans="1:8">
      <c r="A87" t="s">
        <v>134</v>
      </c>
      <c r="B87" t="s">
        <v>173</v>
      </c>
      <c r="C87" t="s">
        <v>236</v>
      </c>
      <c r="D87" s="4">
        <v>0.62</v>
      </c>
      <c r="E87" t="s">
        <v>234</v>
      </c>
      <c r="F87" t="s">
        <v>225</v>
      </c>
      <c r="G87" t="s">
        <v>235</v>
      </c>
      <c r="H87" t="s">
        <v>217</v>
      </c>
    </row>
    <row r="88" spans="1:8">
      <c r="A88" t="s">
        <v>135</v>
      </c>
      <c r="B88" t="s">
        <v>173</v>
      </c>
      <c r="C88" t="s">
        <v>237</v>
      </c>
      <c r="D88" s="4">
        <v>0.62</v>
      </c>
      <c r="E88" t="s">
        <v>234</v>
      </c>
      <c r="F88" t="s">
        <v>225</v>
      </c>
      <c r="G88" t="s">
        <v>235</v>
      </c>
      <c r="H88" t="s">
        <v>217</v>
      </c>
    </row>
    <row r="89" spans="1:8">
      <c r="A89" t="s">
        <v>54</v>
      </c>
      <c r="B89" t="s">
        <v>173</v>
      </c>
      <c r="C89" t="s">
        <v>238</v>
      </c>
      <c r="D89" s="4">
        <v>0.62</v>
      </c>
      <c r="E89" t="s">
        <v>234</v>
      </c>
      <c r="F89" t="s">
        <v>225</v>
      </c>
      <c r="G89" t="s">
        <v>235</v>
      </c>
      <c r="H89" t="s">
        <v>217</v>
      </c>
    </row>
    <row r="90" spans="1:8">
      <c r="A90" t="s">
        <v>136</v>
      </c>
      <c r="B90" t="s">
        <v>173</v>
      </c>
      <c r="C90" t="s">
        <v>239</v>
      </c>
      <c r="D90" s="4">
        <v>0.5</v>
      </c>
    </row>
    <row r="91" spans="1:8">
      <c r="A91" t="s">
        <v>69</v>
      </c>
      <c r="B91" t="s">
        <v>173</v>
      </c>
      <c r="C91" t="s">
        <v>240</v>
      </c>
    </row>
    <row r="92" spans="1:8">
      <c r="A92" t="s">
        <v>72</v>
      </c>
      <c r="B92" t="s">
        <v>173</v>
      </c>
      <c r="C92" t="s">
        <v>241</v>
      </c>
    </row>
    <row r="93" spans="1:8">
      <c r="A93" t="s">
        <v>242</v>
      </c>
      <c r="B93" t="s">
        <v>173</v>
      </c>
      <c r="C93" t="s">
        <v>243</v>
      </c>
      <c r="D93" s="4">
        <v>1</v>
      </c>
      <c r="E93" t="s">
        <v>219</v>
      </c>
      <c r="F93" t="s">
        <v>220</v>
      </c>
      <c r="G93" t="s">
        <v>221</v>
      </c>
      <c r="H93" t="s">
        <v>222</v>
      </c>
    </row>
    <row r="94" spans="1:8">
      <c r="A94" t="s">
        <v>244</v>
      </c>
      <c r="B94" t="s">
        <v>173</v>
      </c>
      <c r="C94" t="s">
        <v>245</v>
      </c>
      <c r="D94" s="4">
        <v>1</v>
      </c>
      <c r="E94" t="s">
        <v>219</v>
      </c>
      <c r="F94" t="s">
        <v>220</v>
      </c>
      <c r="G94" t="s">
        <v>221</v>
      </c>
      <c r="H94" t="s">
        <v>222</v>
      </c>
    </row>
    <row r="95" spans="1:8">
      <c r="A95" t="s">
        <v>246</v>
      </c>
      <c r="B95" t="s">
        <v>173</v>
      </c>
      <c r="C95" t="s">
        <v>247</v>
      </c>
      <c r="D95" s="4">
        <v>0.5</v>
      </c>
      <c r="E95" t="s">
        <v>248</v>
      </c>
      <c r="F95" t="s">
        <v>220</v>
      </c>
      <c r="G95" t="s">
        <v>221</v>
      </c>
      <c r="H95" t="s">
        <v>222</v>
      </c>
    </row>
    <row r="96" spans="1:8">
      <c r="A96" t="s">
        <v>249</v>
      </c>
      <c r="B96" t="s">
        <v>163</v>
      </c>
      <c r="C96" t="s">
        <v>250</v>
      </c>
      <c r="D96">
        <v>50</v>
      </c>
    </row>
    <row r="97" spans="1:8">
      <c r="A97" t="s">
        <v>251</v>
      </c>
      <c r="B97" t="s">
        <v>173</v>
      </c>
      <c r="C97" t="s">
        <v>252</v>
      </c>
      <c r="D97" s="4">
        <v>1</v>
      </c>
    </row>
    <row r="98" spans="1:8">
      <c r="A98" t="s">
        <v>253</v>
      </c>
      <c r="B98" t="s">
        <v>173</v>
      </c>
      <c r="C98" t="s">
        <v>254</v>
      </c>
      <c r="D98" s="4">
        <v>2</v>
      </c>
    </row>
    <row r="99" spans="1:8">
      <c r="A99" t="s">
        <v>255</v>
      </c>
      <c r="B99" t="s">
        <v>173</v>
      </c>
      <c r="C99" t="s">
        <v>256</v>
      </c>
      <c r="D99" s="4">
        <v>0.5</v>
      </c>
      <c r="E99" t="s">
        <v>248</v>
      </c>
      <c r="F99" t="s">
        <v>220</v>
      </c>
      <c r="G99" t="s">
        <v>221</v>
      </c>
      <c r="H99" t="s">
        <v>222</v>
      </c>
    </row>
    <row r="100" spans="1:8">
      <c r="A100" t="s">
        <v>257</v>
      </c>
      <c r="B100" t="s">
        <v>173</v>
      </c>
      <c r="C100" t="s">
        <v>258</v>
      </c>
      <c r="D100" s="4">
        <v>1</v>
      </c>
    </row>
    <row r="101" spans="1:8">
      <c r="A101" t="s">
        <v>259</v>
      </c>
      <c r="B101" t="s">
        <v>173</v>
      </c>
      <c r="C101" t="s">
        <v>260</v>
      </c>
      <c r="D101" s="4">
        <v>1</v>
      </c>
      <c r="E101" t="s">
        <v>261</v>
      </c>
      <c r="F101" t="s">
        <v>262</v>
      </c>
      <c r="G101" t="s">
        <v>227</v>
      </c>
      <c r="H101" t="s">
        <v>263</v>
      </c>
    </row>
    <row r="102" spans="1:8">
      <c r="A102" t="s">
        <v>264</v>
      </c>
      <c r="B102" t="s">
        <v>173</v>
      </c>
      <c r="C102" t="s">
        <v>265</v>
      </c>
      <c r="D102" s="4">
        <v>0.5</v>
      </c>
      <c r="E102" t="s">
        <v>248</v>
      </c>
      <c r="F102" t="s">
        <v>220</v>
      </c>
      <c r="G102" t="s">
        <v>221</v>
      </c>
      <c r="H102" t="s">
        <v>222</v>
      </c>
    </row>
    <row r="103" spans="1:8">
      <c r="A103" t="s">
        <v>266</v>
      </c>
      <c r="B103" t="s">
        <v>173</v>
      </c>
      <c r="C103" t="s">
        <v>267</v>
      </c>
      <c r="D103" s="4">
        <v>3</v>
      </c>
    </row>
    <row r="104" spans="1:8">
      <c r="A104" t="s">
        <v>268</v>
      </c>
      <c r="B104" t="s">
        <v>173</v>
      </c>
      <c r="C104" t="s">
        <v>269</v>
      </c>
      <c r="D104" s="4">
        <v>0.5</v>
      </c>
      <c r="E104" t="s">
        <v>270</v>
      </c>
      <c r="F104" t="s">
        <v>271</v>
      </c>
      <c r="G104" t="s">
        <v>272</v>
      </c>
      <c r="H104" t="s">
        <v>273</v>
      </c>
    </row>
    <row r="105" spans="1:8">
      <c r="A105" t="s">
        <v>274</v>
      </c>
      <c r="B105" t="s">
        <v>173</v>
      </c>
      <c r="C105" t="s">
        <v>275</v>
      </c>
      <c r="D105" s="4">
        <v>1</v>
      </c>
      <c r="E105" t="s">
        <v>261</v>
      </c>
      <c r="F105" t="s">
        <v>262</v>
      </c>
      <c r="G105" t="s">
        <v>227</v>
      </c>
      <c r="H105" t="s">
        <v>263</v>
      </c>
    </row>
    <row r="106" spans="1:8">
      <c r="A106" t="s">
        <v>276</v>
      </c>
      <c r="B106" t="s">
        <v>173</v>
      </c>
      <c r="C106" t="s">
        <v>277</v>
      </c>
      <c r="D106" s="4">
        <v>0.5</v>
      </c>
      <c r="E106" t="s">
        <v>248</v>
      </c>
      <c r="F106" t="s">
        <v>220</v>
      </c>
      <c r="G106" t="s">
        <v>221</v>
      </c>
      <c r="H106" t="s">
        <v>222</v>
      </c>
    </row>
    <row r="107" spans="1:8">
      <c r="A107" t="s">
        <v>278</v>
      </c>
      <c r="B107" t="s">
        <v>173</v>
      </c>
      <c r="C107" t="s">
        <v>279</v>
      </c>
      <c r="D107" s="4">
        <v>1</v>
      </c>
      <c r="E107" t="s">
        <v>261</v>
      </c>
      <c r="F107" t="s">
        <v>262</v>
      </c>
      <c r="G107" t="s">
        <v>227</v>
      </c>
      <c r="H107" t="s">
        <v>263</v>
      </c>
    </row>
    <row r="108" spans="1:8">
      <c r="A108" t="s">
        <v>280</v>
      </c>
      <c r="B108" t="s">
        <v>173</v>
      </c>
      <c r="C108" t="s">
        <v>281</v>
      </c>
      <c r="D108" s="4">
        <v>0.5</v>
      </c>
      <c r="E108" t="s">
        <v>248</v>
      </c>
      <c r="F108" t="s">
        <v>220</v>
      </c>
      <c r="G108" t="s">
        <v>221</v>
      </c>
      <c r="H108" t="s">
        <v>222</v>
      </c>
    </row>
  </sheetData>
  <mergeCells count="8">
    <mergeCell ref="L17:M17"/>
    <mergeCell ref="A3:A6"/>
    <mergeCell ref="A9:A12"/>
    <mergeCell ref="A16:A18"/>
    <mergeCell ref="A21:A22"/>
    <mergeCell ref="A25:A26"/>
    <mergeCell ref="A28:A29"/>
    <mergeCell ref="A32:A33"/>
  </mergeCells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7"/>
  <sheetViews>
    <sheetView workbookViewId="0">
      <selection activeCell="D27" sqref="D27"/>
    </sheetView>
  </sheetViews>
  <sheetFormatPr defaultColWidth="9" defaultRowHeight="13.5"/>
  <cols>
    <col min="1" max="7" width="12.6666666666667" customWidth="1"/>
  </cols>
  <sheetData>
    <row r="1" spans="1:19">
      <c r="A1" t="s">
        <v>13</v>
      </c>
      <c r="B1">
        <v>50</v>
      </c>
      <c r="O1" t="s">
        <v>85</v>
      </c>
      <c r="P1" t="s">
        <v>282</v>
      </c>
      <c r="Q1" t="s">
        <v>160</v>
      </c>
      <c r="R1" t="s">
        <v>283</v>
      </c>
      <c r="S1" t="s">
        <v>284</v>
      </c>
    </row>
    <row r="2" spans="1:19">
      <c r="A2" t="s">
        <v>285</v>
      </c>
      <c r="B2" s="2" t="s">
        <v>286</v>
      </c>
      <c r="C2" s="2"/>
      <c r="D2" t="s">
        <v>287</v>
      </c>
      <c r="E2" s="2" t="s">
        <v>288</v>
      </c>
      <c r="F2" s="2"/>
      <c r="G2" t="s">
        <v>287</v>
      </c>
      <c r="O2" t="s">
        <v>289</v>
      </c>
      <c r="P2" t="s">
        <v>290</v>
      </c>
      <c r="Q2" t="s">
        <v>291</v>
      </c>
      <c r="S2" s="12" t="s">
        <v>292</v>
      </c>
    </row>
    <row r="3" spans="1:19">
      <c r="A3">
        <v>12</v>
      </c>
      <c r="B3" t="s">
        <v>88</v>
      </c>
      <c r="C3">
        <v>60</v>
      </c>
      <c r="D3">
        <v>5</v>
      </c>
      <c r="E3" t="s">
        <v>88</v>
      </c>
      <c r="F3">
        <v>24</v>
      </c>
      <c r="G3">
        <v>2</v>
      </c>
      <c r="H3" t="s">
        <v>88</v>
      </c>
      <c r="I3">
        <f>C3+F3*($B$1-1)</f>
        <v>1236</v>
      </c>
      <c r="J3">
        <f>I3/A3</f>
        <v>103</v>
      </c>
      <c r="O3" t="s">
        <v>293</v>
      </c>
      <c r="P3" t="s">
        <v>294</v>
      </c>
      <c r="Q3" t="s">
        <v>295</v>
      </c>
      <c r="R3" t="s">
        <v>296</v>
      </c>
      <c r="S3" s="12" t="s">
        <v>297</v>
      </c>
    </row>
    <row r="4" spans="1:19">
      <c r="A4">
        <v>2</v>
      </c>
      <c r="B4" t="s">
        <v>89</v>
      </c>
      <c r="C4">
        <v>16</v>
      </c>
      <c r="D4">
        <v>8</v>
      </c>
      <c r="E4" t="s">
        <v>89</v>
      </c>
      <c r="F4">
        <v>8</v>
      </c>
      <c r="G4">
        <v>4</v>
      </c>
      <c r="H4" t="s">
        <v>89</v>
      </c>
      <c r="I4">
        <f t="shared" ref="I4:I8" si="0">C4+F4*($B$1-1)</f>
        <v>408</v>
      </c>
      <c r="J4">
        <f t="shared" ref="J4:J8" si="1">I4/A4</f>
        <v>204</v>
      </c>
      <c r="O4" t="s">
        <v>298</v>
      </c>
      <c r="P4" t="s">
        <v>299</v>
      </c>
      <c r="Q4" t="s">
        <v>300</v>
      </c>
      <c r="R4" t="s">
        <v>301</v>
      </c>
      <c r="S4" s="12" t="s">
        <v>302</v>
      </c>
    </row>
    <row r="5" spans="1:19">
      <c r="A5">
        <v>2</v>
      </c>
      <c r="B5" t="s">
        <v>90</v>
      </c>
      <c r="C5">
        <v>10</v>
      </c>
      <c r="D5">
        <v>5</v>
      </c>
      <c r="E5" t="s">
        <v>90</v>
      </c>
      <c r="F5">
        <v>4</v>
      </c>
      <c r="G5">
        <v>2</v>
      </c>
      <c r="H5" t="s">
        <v>90</v>
      </c>
      <c r="I5">
        <f t="shared" si="0"/>
        <v>206</v>
      </c>
      <c r="J5">
        <f t="shared" si="1"/>
        <v>103</v>
      </c>
      <c r="O5" t="s">
        <v>303</v>
      </c>
      <c r="P5" t="s">
        <v>8</v>
      </c>
      <c r="Q5" t="s">
        <v>304</v>
      </c>
      <c r="S5" s="12" t="s">
        <v>305</v>
      </c>
    </row>
    <row r="6" spans="1:19">
      <c r="A6">
        <v>2</v>
      </c>
      <c r="B6" t="s">
        <v>91</v>
      </c>
      <c r="C6">
        <v>10</v>
      </c>
      <c r="D6">
        <v>5</v>
      </c>
      <c r="E6" t="s">
        <v>91</v>
      </c>
      <c r="F6">
        <v>2</v>
      </c>
      <c r="G6">
        <v>1</v>
      </c>
      <c r="H6" t="s">
        <v>91</v>
      </c>
      <c r="I6">
        <f t="shared" si="0"/>
        <v>108</v>
      </c>
      <c r="J6">
        <f t="shared" si="1"/>
        <v>54</v>
      </c>
      <c r="L6" s="2"/>
      <c r="M6" s="2"/>
    </row>
    <row r="7" spans="1:19">
      <c r="A7">
        <v>2</v>
      </c>
      <c r="B7" t="s">
        <v>92</v>
      </c>
      <c r="C7">
        <v>10</v>
      </c>
      <c r="D7">
        <v>5</v>
      </c>
      <c r="E7" t="s">
        <v>92</v>
      </c>
      <c r="F7">
        <v>2</v>
      </c>
      <c r="G7">
        <v>1</v>
      </c>
      <c r="H7" t="s">
        <v>92</v>
      </c>
      <c r="I7">
        <f t="shared" si="0"/>
        <v>108</v>
      </c>
      <c r="J7">
        <f t="shared" si="1"/>
        <v>54</v>
      </c>
      <c r="L7" s="2"/>
      <c r="M7" s="2"/>
    </row>
    <row r="8" spans="1:19">
      <c r="A8">
        <v>2</v>
      </c>
      <c r="B8" t="s">
        <v>93</v>
      </c>
      <c r="C8">
        <v>10</v>
      </c>
      <c r="D8">
        <v>5</v>
      </c>
      <c r="E8" t="s">
        <v>93</v>
      </c>
      <c r="F8">
        <v>2</v>
      </c>
      <c r="G8">
        <v>1</v>
      </c>
      <c r="H8" t="s">
        <v>93</v>
      </c>
      <c r="I8">
        <f t="shared" si="0"/>
        <v>108</v>
      </c>
      <c r="J8">
        <f t="shared" si="1"/>
        <v>54</v>
      </c>
      <c r="L8" s="2"/>
      <c r="M8" s="2"/>
    </row>
    <row r="9" spans="1:19">
      <c r="D9">
        <f>SUM(D3:D8)</f>
        <v>33</v>
      </c>
      <c r="G9">
        <f>SUM(G3:G8)</f>
        <v>11</v>
      </c>
      <c r="J9">
        <f>SUM(J3:J8)</f>
        <v>572</v>
      </c>
      <c r="Q9" s="2"/>
    </row>
    <row r="13" spans="1:19">
      <c r="Q13" s="5"/>
    </row>
    <row r="14" spans="1:19">
      <c r="A14" t="s">
        <v>1</v>
      </c>
      <c r="B14" t="s">
        <v>306</v>
      </c>
      <c r="C14" t="s">
        <v>307</v>
      </c>
      <c r="D14" t="s">
        <v>308</v>
      </c>
      <c r="E14" t="s">
        <v>309</v>
      </c>
      <c r="Q14" s="5"/>
    </row>
    <row r="15" spans="1:19">
      <c r="A15" t="s">
        <v>13</v>
      </c>
      <c r="B15">
        <f>D9+G9*49</f>
        <v>572</v>
      </c>
      <c r="C15">
        <v>120</v>
      </c>
      <c r="D15" s="6">
        <f t="shared" ref="D15:D20" si="2">ROUND(C15/$C$21,2)</f>
        <v>0.31</v>
      </c>
      <c r="E15" t="s">
        <v>310</v>
      </c>
      <c r="Q15" s="2"/>
    </row>
    <row r="16" spans="1:19">
      <c r="A16" t="s">
        <v>20</v>
      </c>
      <c r="C16">
        <v>120</v>
      </c>
      <c r="D16" s="6">
        <f t="shared" si="2"/>
        <v>0.31</v>
      </c>
      <c r="E16" t="s">
        <v>311</v>
      </c>
      <c r="Q16" s="5"/>
    </row>
    <row r="17" spans="1:17">
      <c r="A17" t="s">
        <v>25</v>
      </c>
      <c r="C17">
        <v>60</v>
      </c>
      <c r="D17" s="6">
        <f t="shared" si="2"/>
        <v>0.15</v>
      </c>
      <c r="E17" t="s">
        <v>312</v>
      </c>
      <c r="Q17" s="5"/>
    </row>
    <row r="18" spans="1:17">
      <c r="A18" t="s">
        <v>30</v>
      </c>
      <c r="C18">
        <v>30</v>
      </c>
      <c r="D18" s="6">
        <f t="shared" si="2"/>
        <v>0.08</v>
      </c>
      <c r="E18" t="s">
        <v>313</v>
      </c>
    </row>
    <row r="19" spans="1:17">
      <c r="A19" t="s">
        <v>35</v>
      </c>
      <c r="C19">
        <v>30</v>
      </c>
      <c r="D19" s="6">
        <f t="shared" si="2"/>
        <v>0.08</v>
      </c>
      <c r="E19" t="s">
        <v>313</v>
      </c>
    </row>
    <row r="20" spans="1:17">
      <c r="A20" t="s">
        <v>39</v>
      </c>
      <c r="C20">
        <v>30</v>
      </c>
      <c r="D20" s="6">
        <f t="shared" si="2"/>
        <v>0.08</v>
      </c>
      <c r="E20" t="s">
        <v>314</v>
      </c>
      <c r="Q20" s="5"/>
    </row>
    <row r="21" spans="1:17">
      <c r="C21">
        <f>SUM(C15:C20)</f>
        <v>390</v>
      </c>
    </row>
    <row r="22" spans="1:17">
      <c r="B22" t="s">
        <v>315</v>
      </c>
      <c r="C22">
        <f>B15/D15</f>
        <v>1845.16129032258</v>
      </c>
      <c r="Q22" s="2"/>
    </row>
    <row r="27" spans="1:17">
      <c r="Q27" s="2"/>
    </row>
    <row r="31" spans="1:17">
      <c r="Q31" s="2"/>
    </row>
    <row r="38" spans="17:17">
      <c r="Q38" s="2"/>
    </row>
    <row r="41" spans="17:17">
      <c r="Q41" s="2"/>
    </row>
    <row r="49" spans="12:13">
      <c r="L49" s="2"/>
      <c r="M49" s="2"/>
    </row>
    <row r="50" spans="12:13">
      <c r="L50" s="2"/>
      <c r="M50" s="2"/>
    </row>
    <row r="51" spans="12:13">
      <c r="L51" s="2"/>
      <c r="M51" s="2"/>
    </row>
    <row r="52" spans="12:13">
      <c r="L52" s="2"/>
      <c r="M52" s="2"/>
    </row>
    <row r="53" spans="12:13">
      <c r="L53" s="2"/>
      <c r="M53" s="2"/>
    </row>
    <row r="54" spans="12:13">
      <c r="L54" s="2"/>
      <c r="M54" s="2"/>
    </row>
    <row r="55" spans="12:13">
      <c r="L55" s="2"/>
      <c r="M55" s="2"/>
    </row>
    <row r="56" spans="12:13">
      <c r="L56" s="2"/>
      <c r="M56" s="2"/>
    </row>
    <row r="57" spans="12:13">
      <c r="L57" s="2"/>
      <c r="M57" s="2"/>
    </row>
    <row r="58" spans="12:13">
      <c r="L58" s="2"/>
      <c r="M58" s="2"/>
    </row>
    <row r="59" spans="12:13">
      <c r="L59" s="2"/>
      <c r="M59" s="2"/>
    </row>
    <row r="60" spans="12:13">
      <c r="L60" s="2"/>
      <c r="M60" s="2"/>
    </row>
    <row r="61" spans="12:13">
      <c r="L61" s="2"/>
      <c r="M61" s="2"/>
    </row>
    <row r="62" spans="12:13">
      <c r="L62" s="2"/>
      <c r="M62" s="2"/>
    </row>
    <row r="63" spans="12:13">
      <c r="L63" s="2"/>
      <c r="M63" s="2"/>
    </row>
    <row r="64" spans="12:13">
      <c r="L64" s="2"/>
      <c r="M64" s="2"/>
    </row>
    <row r="65" spans="11:28">
      <c r="L65" s="2"/>
      <c r="M65" s="2"/>
    </row>
    <row r="66" spans="11:28">
      <c r="L66" s="2" t="s">
        <v>316</v>
      </c>
      <c r="M66" s="2"/>
      <c r="N66" s="2"/>
      <c r="O66" s="2"/>
      <c r="P66" s="2"/>
      <c r="Q66" s="2"/>
      <c r="R66" s="2"/>
      <c r="S66" s="2"/>
      <c r="T66" s="2"/>
    </row>
    <row r="67" spans="11:28">
      <c r="M67" s="2"/>
      <c r="N67" s="2"/>
    </row>
    <row r="68" spans="11:28">
      <c r="M68" s="2"/>
      <c r="N68" s="2"/>
    </row>
    <row r="69" spans="11:28">
      <c r="M69" s="2"/>
      <c r="N69" s="2"/>
      <c r="O69" t="s">
        <v>317</v>
      </c>
    </row>
    <row r="70" spans="11:28">
      <c r="M70" s="2" t="s">
        <v>318</v>
      </c>
      <c r="N70" s="2"/>
      <c r="O70" t="s">
        <v>319</v>
      </c>
    </row>
    <row r="71" spans="11:28">
      <c r="M71" s="2" t="s">
        <v>318</v>
      </c>
      <c r="N71" s="2"/>
      <c r="O71" t="s">
        <v>320</v>
      </c>
    </row>
    <row r="72" spans="11:28">
      <c r="M72" s="2" t="s">
        <v>318</v>
      </c>
      <c r="N72" s="2"/>
      <c r="O72" t="s">
        <v>321</v>
      </c>
    </row>
    <row r="73" spans="11:28">
      <c r="M73" s="2" t="s">
        <v>318</v>
      </c>
      <c r="N73" s="2"/>
      <c r="O73" t="s">
        <v>322</v>
      </c>
    </row>
    <row r="74" spans="11:28">
      <c r="M74" s="2" t="s">
        <v>318</v>
      </c>
      <c r="N74" s="2"/>
      <c r="O74" t="s">
        <v>323</v>
      </c>
    </row>
    <row r="75" spans="11:28">
      <c r="M75" s="2" t="s">
        <v>318</v>
      </c>
      <c r="N75" s="2"/>
      <c r="O75" t="s">
        <v>324</v>
      </c>
    </row>
    <row r="76" spans="11:28">
      <c r="L76" s="2"/>
      <c r="M76" s="2"/>
      <c r="U76" t="s">
        <v>325</v>
      </c>
      <c r="V76" t="s">
        <v>326</v>
      </c>
      <c r="Z76" t="s">
        <v>327</v>
      </c>
      <c r="AA76" t="s">
        <v>328</v>
      </c>
      <c r="AB76" t="s">
        <v>329</v>
      </c>
    </row>
    <row r="77" spans="11:28">
      <c r="L77" s="2"/>
      <c r="M77" s="2"/>
    </row>
    <row r="78" spans="11:28">
      <c r="L78" s="2"/>
      <c r="M78" s="2"/>
    </row>
    <row r="79" spans="11:28">
      <c r="L79" s="2"/>
      <c r="M79" s="2"/>
      <c r="N79" t="s">
        <v>330</v>
      </c>
    </row>
    <row r="80" spans="11:28">
      <c r="K80" t="s">
        <v>331</v>
      </c>
      <c r="L80" s="2"/>
      <c r="M80" s="2"/>
    </row>
    <row r="81" spans="11:20">
      <c r="K81" t="s">
        <v>332</v>
      </c>
      <c r="L81" s="2"/>
      <c r="M81" s="2"/>
    </row>
    <row r="82" spans="11:20">
      <c r="L82" s="2"/>
      <c r="M82" s="2"/>
    </row>
    <row r="83" ht="14.4" customHeight="1" spans="11:20">
      <c r="K83" t="s">
        <v>113</v>
      </c>
      <c r="L83" s="2" t="s">
        <v>173</v>
      </c>
      <c r="M83" s="2"/>
      <c r="N83" s="4">
        <v>0.5</v>
      </c>
      <c r="O83" s="7" t="s">
        <v>333</v>
      </c>
      <c r="P83" s="8"/>
      <c r="Q83" s="8"/>
      <c r="R83" s="8"/>
      <c r="S83" s="8"/>
      <c r="T83" s="8"/>
    </row>
    <row r="84" spans="11:20">
      <c r="K84" t="s">
        <v>122</v>
      </c>
      <c r="L84" s="2" t="s">
        <v>173</v>
      </c>
      <c r="M84" s="2"/>
    </row>
    <row r="85" spans="11:20">
      <c r="K85" t="s">
        <v>334</v>
      </c>
      <c r="L85" s="2" t="s">
        <v>163</v>
      </c>
      <c r="M85" s="2"/>
    </row>
    <row r="86" spans="11:20">
      <c r="L86" s="2"/>
      <c r="M86" s="2"/>
    </row>
    <row r="87" spans="11:20">
      <c r="L87" s="2"/>
      <c r="M87" s="2"/>
    </row>
    <row r="88" spans="11:20">
      <c r="K88" t="s">
        <v>133</v>
      </c>
      <c r="L88" s="2"/>
      <c r="M88" s="2"/>
      <c r="N88" t="s">
        <v>335</v>
      </c>
    </row>
    <row r="89" spans="11:20">
      <c r="L89" s="2"/>
      <c r="M89" s="2"/>
    </row>
    <row r="201" spans="12:13">
      <c r="L201" s="2"/>
      <c r="M201" s="2"/>
    </row>
    <row r="202" spans="12:13">
      <c r="L202" s="2"/>
      <c r="M202" s="2"/>
    </row>
    <row r="203" spans="12:13">
      <c r="L203" s="2"/>
      <c r="M203" s="2"/>
    </row>
    <row r="204" spans="12:13">
      <c r="L204" s="2"/>
      <c r="M204" s="2"/>
    </row>
    <row r="205" spans="12:13">
      <c r="L205" s="2"/>
      <c r="M205" s="2"/>
    </row>
    <row r="206" spans="12:13">
      <c r="L206" s="2"/>
      <c r="M206" s="2"/>
    </row>
    <row r="207" spans="12:13">
      <c r="L207" s="2"/>
      <c r="M207" s="2"/>
    </row>
  </sheetData>
  <mergeCells count="2">
    <mergeCell ref="B2:C2"/>
    <mergeCell ref="E2:F2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6:X40"/>
  <sheetViews>
    <sheetView topLeftCell="A28" workbookViewId="0">
      <selection activeCell="N44" sqref="N44"/>
    </sheetView>
  </sheetViews>
  <sheetFormatPr defaultColWidth="9" defaultRowHeight="13.5"/>
  <cols>
    <col min="7" max="12" width="8.66666666666667" customWidth="1"/>
  </cols>
  <sheetData>
    <row r="16" spans="7:8">
      <c r="G16" t="s">
        <v>336</v>
      </c>
      <c r="H16" t="s">
        <v>337</v>
      </c>
    </row>
    <row r="17" spans="1:14">
      <c r="G17" t="s">
        <v>191</v>
      </c>
      <c r="H17" t="s">
        <v>338</v>
      </c>
      <c r="I17" t="s">
        <v>339</v>
      </c>
      <c r="J17" t="s">
        <v>340</v>
      </c>
    </row>
    <row r="18" spans="1:14">
      <c r="G18" t="s">
        <v>341</v>
      </c>
      <c r="H18" t="s">
        <v>342</v>
      </c>
      <c r="I18" t="s">
        <v>343</v>
      </c>
      <c r="J18" t="s">
        <v>344</v>
      </c>
    </row>
    <row r="19" spans="1:14">
      <c r="G19" t="s">
        <v>345</v>
      </c>
      <c r="H19" t="s">
        <v>346</v>
      </c>
      <c r="I19" t="s">
        <v>347</v>
      </c>
      <c r="J19" t="s">
        <v>345</v>
      </c>
    </row>
    <row r="20" spans="1:14">
      <c r="G20" t="s">
        <v>348</v>
      </c>
      <c r="H20" t="s">
        <v>349</v>
      </c>
      <c r="I20" t="s">
        <v>350</v>
      </c>
      <c r="J20" t="s">
        <v>351</v>
      </c>
    </row>
    <row r="21" spans="1:14">
      <c r="G21" t="s">
        <v>23</v>
      </c>
    </row>
    <row r="22" spans="1:14">
      <c r="G22" t="s">
        <v>352</v>
      </c>
    </row>
    <row r="25" spans="1:14">
      <c r="A25" t="s">
        <v>353</v>
      </c>
      <c r="B25" t="s">
        <v>354</v>
      </c>
      <c r="C25" t="s">
        <v>355</v>
      </c>
      <c r="D25" t="s">
        <v>356</v>
      </c>
      <c r="H25" t="s">
        <v>357</v>
      </c>
    </row>
    <row r="26" spans="1:14">
      <c r="A26" t="s">
        <v>358</v>
      </c>
      <c r="B26">
        <v>3</v>
      </c>
      <c r="C26" t="s">
        <v>359</v>
      </c>
      <c r="D26">
        <v>1</v>
      </c>
      <c r="H26" t="s">
        <v>360</v>
      </c>
      <c r="K26" t="s">
        <v>361</v>
      </c>
    </row>
    <row r="27" spans="1:14">
      <c r="A27" t="s">
        <v>362</v>
      </c>
      <c r="B27">
        <v>6</v>
      </c>
      <c r="C27" t="s">
        <v>363</v>
      </c>
      <c r="D27">
        <v>2</v>
      </c>
      <c r="G27" t="s">
        <v>338</v>
      </c>
      <c r="H27" t="s">
        <v>89</v>
      </c>
      <c r="I27" s="4">
        <v>0.85</v>
      </c>
      <c r="J27" t="s">
        <v>107</v>
      </c>
      <c r="K27" s="4">
        <v>0.1</v>
      </c>
      <c r="L27" t="s">
        <v>364</v>
      </c>
    </row>
    <row r="28" spans="1:14">
      <c r="A28" t="s">
        <v>365</v>
      </c>
      <c r="B28">
        <v>9</v>
      </c>
      <c r="C28" t="s">
        <v>366</v>
      </c>
      <c r="D28">
        <v>3</v>
      </c>
      <c r="G28" t="s">
        <v>339</v>
      </c>
      <c r="H28" t="s">
        <v>89</v>
      </c>
      <c r="I28" s="4">
        <v>1</v>
      </c>
      <c r="J28" t="s">
        <v>107</v>
      </c>
      <c r="K28" s="4">
        <v>0</v>
      </c>
      <c r="L28" t="s">
        <v>242</v>
      </c>
    </row>
    <row r="29" spans="1:14">
      <c r="A29" t="s">
        <v>367</v>
      </c>
      <c r="B29">
        <v>12</v>
      </c>
      <c r="C29" t="s">
        <v>368</v>
      </c>
      <c r="D29">
        <v>4</v>
      </c>
      <c r="G29" t="s">
        <v>340</v>
      </c>
      <c r="H29" t="s">
        <v>89</v>
      </c>
      <c r="I29" s="4">
        <v>1.15</v>
      </c>
      <c r="J29" t="s">
        <v>107</v>
      </c>
      <c r="K29" s="4">
        <v>-0.1</v>
      </c>
      <c r="L29" t="s">
        <v>369</v>
      </c>
      <c r="N29" t="s">
        <v>370</v>
      </c>
    </row>
    <row r="30" spans="1:14">
      <c r="A30" t="s">
        <v>371</v>
      </c>
      <c r="B30">
        <v>15</v>
      </c>
      <c r="C30" t="s">
        <v>372</v>
      </c>
      <c r="D30">
        <v>5</v>
      </c>
      <c r="G30" t="s">
        <v>342</v>
      </c>
      <c r="H30" t="s">
        <v>90</v>
      </c>
      <c r="M30" t="s">
        <v>373</v>
      </c>
      <c r="N30" s="4">
        <v>0.1</v>
      </c>
    </row>
    <row r="31" spans="1:14">
      <c r="G31" t="s">
        <v>343</v>
      </c>
      <c r="H31" t="s">
        <v>90</v>
      </c>
      <c r="M31" t="s">
        <v>373</v>
      </c>
      <c r="N31" s="4">
        <v>0.13</v>
      </c>
    </row>
    <row r="32" spans="1:14">
      <c r="G32" t="s">
        <v>344</v>
      </c>
      <c r="H32" t="s">
        <v>90</v>
      </c>
      <c r="M32" t="s">
        <v>373</v>
      </c>
      <c r="N32" s="4">
        <v>0.16</v>
      </c>
    </row>
    <row r="33" spans="1:24">
      <c r="A33" s="2" t="s">
        <v>361</v>
      </c>
      <c r="B33" s="2"/>
      <c r="C33" s="2"/>
      <c r="D33" s="2"/>
      <c r="G33" t="s">
        <v>346</v>
      </c>
      <c r="H33" t="s">
        <v>88</v>
      </c>
      <c r="M33" t="s">
        <v>373</v>
      </c>
      <c r="N33" s="4">
        <v>0.06</v>
      </c>
    </row>
    <row r="34" spans="1:24">
      <c r="A34">
        <v>1</v>
      </c>
      <c r="B34" t="s">
        <v>374</v>
      </c>
      <c r="G34" t="s">
        <v>347</v>
      </c>
      <c r="H34" t="s">
        <v>88</v>
      </c>
      <c r="M34" t="s">
        <v>373</v>
      </c>
      <c r="N34" s="4">
        <v>0.08</v>
      </c>
    </row>
    <row r="35" spans="1:24">
      <c r="A35">
        <v>2</v>
      </c>
      <c r="G35" t="s">
        <v>345</v>
      </c>
      <c r="H35" t="s">
        <v>88</v>
      </c>
      <c r="M35" t="s">
        <v>373</v>
      </c>
      <c r="N35" s="4">
        <v>0.1</v>
      </c>
    </row>
    <row r="36" spans="1:24">
      <c r="A36">
        <v>3</v>
      </c>
      <c r="G36" t="s">
        <v>349</v>
      </c>
      <c r="H36" t="s">
        <v>93</v>
      </c>
      <c r="I36" s="4">
        <v>1.15</v>
      </c>
      <c r="J36" t="s">
        <v>62</v>
      </c>
      <c r="L36" t="s">
        <v>77</v>
      </c>
      <c r="M36" t="s">
        <v>373</v>
      </c>
      <c r="N36" s="4">
        <v>0.06</v>
      </c>
    </row>
    <row r="37" spans="1:24">
      <c r="A37">
        <v>4</v>
      </c>
      <c r="G37" t="s">
        <v>350</v>
      </c>
      <c r="H37" t="s">
        <v>93</v>
      </c>
      <c r="I37" s="4">
        <v>1</v>
      </c>
      <c r="M37" t="s">
        <v>373</v>
      </c>
      <c r="N37" s="4">
        <v>0.08</v>
      </c>
    </row>
    <row r="38" spans="1:24">
      <c r="A38">
        <v>5</v>
      </c>
      <c r="G38" t="s">
        <v>351</v>
      </c>
      <c r="H38" t="s">
        <v>93</v>
      </c>
      <c r="I38" s="4">
        <v>0.85</v>
      </c>
      <c r="M38" t="s">
        <v>373</v>
      </c>
      <c r="N38" s="4">
        <v>0.1</v>
      </c>
    </row>
    <row r="39" spans="1:24">
      <c r="G39" t="s">
        <v>375</v>
      </c>
    </row>
    <row r="40" spans="1:24">
      <c r="G40" t="s">
        <v>352</v>
      </c>
      <c r="H40" t="s">
        <v>31</v>
      </c>
      <c r="J40" t="s">
        <v>113</v>
      </c>
      <c r="N40" t="s">
        <v>16</v>
      </c>
      <c r="P40" t="s">
        <v>22</v>
      </c>
      <c r="R40" t="s">
        <v>115</v>
      </c>
      <c r="T40" t="s">
        <v>149</v>
      </c>
      <c r="V40" t="s">
        <v>151</v>
      </c>
      <c r="X40" t="s">
        <v>121</v>
      </c>
    </row>
  </sheetData>
  <mergeCells count="1">
    <mergeCell ref="A33:D3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Q63"/>
  <sheetViews>
    <sheetView tabSelected="1" topLeftCell="A19" workbookViewId="0">
      <selection activeCell="E69" sqref="E69"/>
    </sheetView>
  </sheetViews>
  <sheetFormatPr defaultColWidth="9" defaultRowHeight="13.5"/>
  <cols>
    <col min="5" max="5" width="63.125" customWidth="1"/>
    <col min="14" max="19" width="20.6666666666667" customWidth="1"/>
  </cols>
  <sheetData>
    <row r="1" spans="2:5">
      <c r="B1" t="s">
        <v>376</v>
      </c>
      <c r="C1" t="s">
        <v>377</v>
      </c>
    </row>
    <row r="2" spans="2:5">
      <c r="B2" t="s">
        <v>378</v>
      </c>
      <c r="C2" t="s">
        <v>379</v>
      </c>
      <c r="E2" s="3" t="s">
        <v>380</v>
      </c>
    </row>
    <row r="3" spans="2:5">
      <c r="E3" t="s">
        <v>381</v>
      </c>
    </row>
    <row r="4" spans="2:5">
      <c r="E4" t="s">
        <v>382</v>
      </c>
    </row>
    <row r="6" spans="2:5">
      <c r="E6" t="s">
        <v>383</v>
      </c>
    </row>
    <row r="7" spans="2:5">
      <c r="E7" t="s">
        <v>384</v>
      </c>
    </row>
    <row r="10" spans="2:5">
      <c r="B10" t="s">
        <v>385</v>
      </c>
      <c r="C10" s="3" t="s">
        <v>386</v>
      </c>
      <c r="D10" s="3"/>
      <c r="E10" t="s">
        <v>387</v>
      </c>
    </row>
    <row r="11" spans="2:5">
      <c r="C11" t="s">
        <v>388</v>
      </c>
      <c r="E11" t="s">
        <v>389</v>
      </c>
    </row>
    <row r="12" spans="2:5">
      <c r="C12" t="s">
        <v>390</v>
      </c>
      <c r="E12" t="s">
        <v>391</v>
      </c>
    </row>
    <row r="13" spans="2:5">
      <c r="C13" t="s">
        <v>392</v>
      </c>
      <c r="E13" t="s">
        <v>393</v>
      </c>
    </row>
    <row r="15" spans="2:5">
      <c r="B15" t="s">
        <v>394</v>
      </c>
      <c r="E15" t="s">
        <v>395</v>
      </c>
    </row>
    <row r="16" spans="2:5">
      <c r="B16" t="s">
        <v>396</v>
      </c>
      <c r="E16" t="s">
        <v>397</v>
      </c>
    </row>
    <row r="17" spans="2:17">
      <c r="B17" t="s">
        <v>386</v>
      </c>
      <c r="E17" s="3" t="s">
        <v>398</v>
      </c>
    </row>
    <row r="19" spans="2:17">
      <c r="B19" t="s">
        <v>399</v>
      </c>
      <c r="E19" t="s">
        <v>400</v>
      </c>
      <c r="N19" t="s">
        <v>401</v>
      </c>
    </row>
    <row r="21" spans="2:17">
      <c r="N21" t="s">
        <v>192</v>
      </c>
      <c r="O21" t="s">
        <v>360</v>
      </c>
      <c r="P21" t="s">
        <v>402</v>
      </c>
      <c r="Q21" t="s">
        <v>403</v>
      </c>
    </row>
    <row r="22" spans="2:17">
      <c r="N22" t="s">
        <v>404</v>
      </c>
      <c r="O22" t="s">
        <v>405</v>
      </c>
      <c r="P22" t="s">
        <v>406</v>
      </c>
      <c r="Q22" t="s">
        <v>407</v>
      </c>
    </row>
    <row r="23" spans="2:17">
      <c r="N23" t="s">
        <v>408</v>
      </c>
      <c r="O23" t="s">
        <v>409</v>
      </c>
      <c r="P23" t="s">
        <v>410</v>
      </c>
      <c r="Q23" t="s">
        <v>411</v>
      </c>
    </row>
    <row r="24" spans="2:17">
      <c r="N24" t="s">
        <v>412</v>
      </c>
      <c r="O24" t="s">
        <v>413</v>
      </c>
      <c r="P24" t="s">
        <v>414</v>
      </c>
      <c r="Q24" t="s">
        <v>415</v>
      </c>
    </row>
    <row r="25" spans="2:17">
      <c r="N25" t="s">
        <v>416</v>
      </c>
      <c r="O25" t="s">
        <v>417</v>
      </c>
      <c r="P25" t="s">
        <v>418</v>
      </c>
      <c r="Q25" t="s">
        <v>419</v>
      </c>
    </row>
    <row r="26" spans="2:17">
      <c r="N26" t="s">
        <v>420</v>
      </c>
      <c r="O26" t="s">
        <v>421</v>
      </c>
      <c r="P26" t="s">
        <v>422</v>
      </c>
      <c r="Q26" t="s">
        <v>423</v>
      </c>
    </row>
    <row r="28" spans="2:17">
      <c r="B28" t="s">
        <v>424</v>
      </c>
      <c r="C28" t="s">
        <v>377</v>
      </c>
      <c r="D28" t="s">
        <v>85</v>
      </c>
      <c r="E28" t="s">
        <v>425</v>
      </c>
    </row>
    <row r="29" spans="2:17">
      <c r="B29">
        <v>1</v>
      </c>
      <c r="C29" t="s">
        <v>426</v>
      </c>
      <c r="D29" t="s">
        <v>427</v>
      </c>
      <c r="E29" t="s">
        <v>428</v>
      </c>
    </row>
    <row r="30" spans="2:17">
      <c r="B30">
        <v>2</v>
      </c>
      <c r="C30" t="s">
        <v>429</v>
      </c>
      <c r="D30" t="s">
        <v>427</v>
      </c>
      <c r="E30" t="s">
        <v>430</v>
      </c>
    </row>
    <row r="31" spans="2:17">
      <c r="B31">
        <v>3</v>
      </c>
      <c r="C31" t="s">
        <v>431</v>
      </c>
      <c r="D31" t="s">
        <v>427</v>
      </c>
      <c r="E31" t="s">
        <v>432</v>
      </c>
    </row>
    <row r="32" ht="15" spans="2:17">
      <c r="B32">
        <v>4</v>
      </c>
      <c r="C32" t="s">
        <v>433</v>
      </c>
      <c r="D32" t="s">
        <v>434</v>
      </c>
      <c r="E32" t="s">
        <v>435</v>
      </c>
    </row>
    <row r="33" spans="2:15">
      <c r="B33">
        <v>5</v>
      </c>
      <c r="C33" t="s">
        <v>436</v>
      </c>
      <c r="D33" t="s">
        <v>434</v>
      </c>
      <c r="E33" t="s">
        <v>437</v>
      </c>
      <c r="N33" t="s">
        <v>438</v>
      </c>
    </row>
    <row r="34" spans="2:15">
      <c r="B34">
        <v>6</v>
      </c>
      <c r="C34" t="s">
        <v>439</v>
      </c>
      <c r="D34" t="s">
        <v>434</v>
      </c>
      <c r="E34" t="s">
        <v>440</v>
      </c>
    </row>
    <row r="35" spans="2:15">
      <c r="B35">
        <v>7</v>
      </c>
      <c r="C35" t="s">
        <v>441</v>
      </c>
      <c r="D35" t="s">
        <v>434</v>
      </c>
      <c r="E35" t="s">
        <v>442</v>
      </c>
      <c r="N35" t="s">
        <v>443</v>
      </c>
      <c r="O35" t="s">
        <v>444</v>
      </c>
    </row>
    <row r="36" spans="2:15">
      <c r="B36">
        <v>8</v>
      </c>
      <c r="C36" t="s">
        <v>445</v>
      </c>
      <c r="D36" t="s">
        <v>434</v>
      </c>
      <c r="E36" t="s">
        <v>446</v>
      </c>
      <c r="N36" t="s">
        <v>447</v>
      </c>
      <c r="O36" t="s">
        <v>448</v>
      </c>
    </row>
    <row r="37" spans="2:15">
      <c r="B37">
        <v>9</v>
      </c>
      <c r="C37" t="s">
        <v>449</v>
      </c>
      <c r="D37" t="s">
        <v>450</v>
      </c>
      <c r="E37" t="s">
        <v>451</v>
      </c>
      <c r="N37" t="s">
        <v>452</v>
      </c>
      <c r="O37" t="s">
        <v>453</v>
      </c>
    </row>
    <row r="38" spans="2:15">
      <c r="B38">
        <v>10</v>
      </c>
      <c r="C38" t="s">
        <v>454</v>
      </c>
      <c r="D38" t="s">
        <v>450</v>
      </c>
      <c r="E38" t="s">
        <v>455</v>
      </c>
      <c r="N38" t="s">
        <v>456</v>
      </c>
      <c r="O38" t="s">
        <v>457</v>
      </c>
    </row>
    <row r="39" spans="2:15">
      <c r="N39" t="s">
        <v>458</v>
      </c>
      <c r="O39" t="s">
        <v>459</v>
      </c>
    </row>
    <row r="40" spans="2:15">
      <c r="B40" t="s">
        <v>424</v>
      </c>
      <c r="C40" t="s">
        <v>377</v>
      </c>
      <c r="D40" t="s">
        <v>460</v>
      </c>
      <c r="E40" t="s">
        <v>461</v>
      </c>
      <c r="F40" t="s">
        <v>425</v>
      </c>
      <c r="N40" t="s">
        <v>462</v>
      </c>
    </row>
    <row r="41" spans="2:15">
      <c r="B41">
        <v>1</v>
      </c>
      <c r="C41" t="s">
        <v>463</v>
      </c>
      <c r="D41">
        <v>1</v>
      </c>
      <c r="E41" t="s">
        <v>464</v>
      </c>
      <c r="F41" t="s">
        <v>465</v>
      </c>
      <c r="N41" t="s">
        <v>192</v>
      </c>
      <c r="O41" t="s">
        <v>466</v>
      </c>
    </row>
    <row r="42" spans="2:15">
      <c r="B42">
        <v>2</v>
      </c>
      <c r="C42" t="s">
        <v>467</v>
      </c>
      <c r="D42">
        <v>2</v>
      </c>
      <c r="E42" t="s">
        <v>464</v>
      </c>
      <c r="F42" t="s">
        <v>468</v>
      </c>
      <c r="N42" t="s">
        <v>404</v>
      </c>
      <c r="O42" t="s">
        <v>469</v>
      </c>
    </row>
    <row r="43" spans="2:15">
      <c r="B43">
        <v>3</v>
      </c>
      <c r="C43" t="s">
        <v>470</v>
      </c>
      <c r="D43">
        <v>1</v>
      </c>
      <c r="E43" t="s">
        <v>464</v>
      </c>
      <c r="F43" t="s">
        <v>471</v>
      </c>
      <c r="N43" t="s">
        <v>408</v>
      </c>
      <c r="O43" t="s">
        <v>472</v>
      </c>
    </row>
    <row r="44" spans="2:15">
      <c r="B44">
        <v>4</v>
      </c>
      <c r="C44" t="s">
        <v>473</v>
      </c>
      <c r="D44">
        <v>2</v>
      </c>
      <c r="E44" t="s">
        <v>464</v>
      </c>
      <c r="F44" t="s">
        <v>474</v>
      </c>
      <c r="N44" t="s">
        <v>412</v>
      </c>
      <c r="O44" t="s">
        <v>475</v>
      </c>
    </row>
    <row r="45" spans="2:15">
      <c r="B45">
        <v>5</v>
      </c>
      <c r="C45" t="s">
        <v>476</v>
      </c>
      <c r="D45">
        <v>2</v>
      </c>
      <c r="E45" t="s">
        <v>477</v>
      </c>
      <c r="F45" t="s">
        <v>478</v>
      </c>
      <c r="N45" t="s">
        <v>416</v>
      </c>
      <c r="O45" t="s">
        <v>479</v>
      </c>
    </row>
    <row r="46" spans="2:15">
      <c r="B46">
        <v>6</v>
      </c>
      <c r="C46" t="s">
        <v>480</v>
      </c>
      <c r="D46">
        <v>2</v>
      </c>
      <c r="E46" t="s">
        <v>464</v>
      </c>
      <c r="F46" t="s">
        <v>481</v>
      </c>
      <c r="N46" t="s">
        <v>420</v>
      </c>
      <c r="O46" t="s">
        <v>482</v>
      </c>
    </row>
    <row r="47" spans="2:15">
      <c r="B47">
        <v>7</v>
      </c>
      <c r="C47" t="s">
        <v>483</v>
      </c>
      <c r="D47">
        <v>2</v>
      </c>
      <c r="E47" t="s">
        <v>484</v>
      </c>
      <c r="F47" t="s">
        <v>485</v>
      </c>
    </row>
    <row r="48" spans="2:15">
      <c r="B48">
        <v>8</v>
      </c>
      <c r="C48" t="s">
        <v>486</v>
      </c>
      <c r="D48">
        <v>2</v>
      </c>
      <c r="E48" t="s">
        <v>487</v>
      </c>
      <c r="F48" t="s">
        <v>488</v>
      </c>
    </row>
    <row r="49" spans="2:6">
      <c r="B49">
        <v>9</v>
      </c>
      <c r="C49" t="s">
        <v>489</v>
      </c>
      <c r="D49">
        <v>1</v>
      </c>
      <c r="E49" t="s">
        <v>464</v>
      </c>
      <c r="F49" t="s">
        <v>490</v>
      </c>
    </row>
    <row r="50" spans="2:6">
      <c r="B50">
        <v>10</v>
      </c>
      <c r="C50" t="s">
        <v>491</v>
      </c>
      <c r="D50">
        <v>2</v>
      </c>
      <c r="E50" t="s">
        <v>464</v>
      </c>
      <c r="F50" t="s">
        <v>492</v>
      </c>
    </row>
    <row r="53" spans="2:6">
      <c r="B53" t="s">
        <v>424</v>
      </c>
      <c r="C53" t="s">
        <v>377</v>
      </c>
      <c r="D53" t="s">
        <v>460</v>
      </c>
      <c r="E53" t="s">
        <v>461</v>
      </c>
      <c r="F53" t="s">
        <v>425</v>
      </c>
    </row>
    <row r="54" spans="2:6">
      <c r="B54">
        <v>1</v>
      </c>
      <c r="C54" t="s">
        <v>493</v>
      </c>
      <c r="D54">
        <v>3</v>
      </c>
      <c r="E54" t="s">
        <v>464</v>
      </c>
      <c r="F54" t="s">
        <v>494</v>
      </c>
    </row>
    <row r="55" spans="2:6">
      <c r="B55">
        <v>2</v>
      </c>
      <c r="C55" t="s">
        <v>495</v>
      </c>
      <c r="D55">
        <v>4</v>
      </c>
      <c r="E55" t="s">
        <v>496</v>
      </c>
      <c r="F55" t="s">
        <v>497</v>
      </c>
    </row>
    <row r="56" spans="2:6">
      <c r="B56">
        <v>3</v>
      </c>
      <c r="C56" t="s">
        <v>498</v>
      </c>
      <c r="D56">
        <v>3</v>
      </c>
      <c r="E56" t="s">
        <v>464</v>
      </c>
      <c r="F56" t="s">
        <v>499</v>
      </c>
    </row>
    <row r="57" spans="2:6">
      <c r="B57">
        <v>4</v>
      </c>
      <c r="C57" t="s">
        <v>500</v>
      </c>
      <c r="D57">
        <v>4</v>
      </c>
      <c r="E57" t="s">
        <v>496</v>
      </c>
      <c r="F57" t="s">
        <v>501</v>
      </c>
    </row>
    <row r="58" spans="2:6">
      <c r="B58">
        <v>5</v>
      </c>
      <c r="C58" t="s">
        <v>502</v>
      </c>
      <c r="D58">
        <v>3</v>
      </c>
      <c r="E58" t="s">
        <v>477</v>
      </c>
      <c r="F58" t="s">
        <v>503</v>
      </c>
    </row>
    <row r="59" spans="2:6">
      <c r="B59">
        <v>6</v>
      </c>
      <c r="C59" t="s">
        <v>504</v>
      </c>
      <c r="D59">
        <v>4</v>
      </c>
      <c r="E59" t="s">
        <v>464</v>
      </c>
      <c r="F59" t="s">
        <v>505</v>
      </c>
    </row>
    <row r="60" spans="2:6">
      <c r="B60">
        <v>7</v>
      </c>
      <c r="C60" t="s">
        <v>506</v>
      </c>
      <c r="D60">
        <v>4</v>
      </c>
      <c r="E60" t="s">
        <v>507</v>
      </c>
      <c r="F60" t="s">
        <v>508</v>
      </c>
    </row>
    <row r="61" spans="2:6">
      <c r="B61">
        <v>8</v>
      </c>
      <c r="C61" t="s">
        <v>509</v>
      </c>
      <c r="D61">
        <v>4</v>
      </c>
      <c r="E61" t="s">
        <v>464</v>
      </c>
      <c r="F61" t="s">
        <v>510</v>
      </c>
    </row>
    <row r="62" spans="2:6">
      <c r="B62">
        <v>9</v>
      </c>
      <c r="C62" t="s">
        <v>511</v>
      </c>
      <c r="D62">
        <v>3</v>
      </c>
      <c r="E62" t="s">
        <v>464</v>
      </c>
      <c r="F62" t="s">
        <v>512</v>
      </c>
    </row>
    <row r="63" spans="2:6">
      <c r="B63">
        <v>10</v>
      </c>
      <c r="C63" t="s">
        <v>513</v>
      </c>
      <c r="D63">
        <v>4</v>
      </c>
      <c r="E63" t="s">
        <v>496</v>
      </c>
      <c r="F63" t="s">
        <v>514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I11:S40"/>
  <sheetViews>
    <sheetView workbookViewId="0">
      <selection activeCell="K34" sqref="K34"/>
    </sheetView>
  </sheetViews>
  <sheetFormatPr defaultColWidth="9" defaultRowHeight="13.5"/>
  <sheetData>
    <row r="11" spans="9:19">
      <c r="I11" t="s">
        <v>515</v>
      </c>
      <c r="K11" t="s">
        <v>516</v>
      </c>
      <c r="Q11" t="s">
        <v>517</v>
      </c>
      <c r="S11" t="s">
        <v>518</v>
      </c>
    </row>
    <row r="13" spans="9:19">
      <c r="I13" t="s">
        <v>519</v>
      </c>
      <c r="J13" t="s">
        <v>520</v>
      </c>
      <c r="K13" t="s">
        <v>160</v>
      </c>
      <c r="Q13" t="s">
        <v>521</v>
      </c>
      <c r="R13" t="s">
        <v>520</v>
      </c>
      <c r="S13" t="s">
        <v>160</v>
      </c>
    </row>
    <row r="14" spans="9:19">
      <c r="I14" t="s">
        <v>522</v>
      </c>
      <c r="J14" t="s">
        <v>523</v>
      </c>
      <c r="K14" t="s">
        <v>524</v>
      </c>
      <c r="Q14" t="s">
        <v>93</v>
      </c>
      <c r="R14" t="s">
        <v>525</v>
      </c>
      <c r="S14" t="s">
        <v>526</v>
      </c>
    </row>
    <row r="15" spans="9:19">
      <c r="I15" t="s">
        <v>69</v>
      </c>
      <c r="J15" t="s">
        <v>525</v>
      </c>
      <c r="K15" t="s">
        <v>527</v>
      </c>
      <c r="Q15" t="s">
        <v>54</v>
      </c>
      <c r="R15" t="s">
        <v>525</v>
      </c>
      <c r="S15" t="s">
        <v>526</v>
      </c>
    </row>
    <row r="16" spans="9:19">
      <c r="I16" t="s">
        <v>82</v>
      </c>
      <c r="J16" t="s">
        <v>523</v>
      </c>
      <c r="K16" t="s">
        <v>528</v>
      </c>
      <c r="Q16" t="s">
        <v>41</v>
      </c>
      <c r="R16" t="s">
        <v>523</v>
      </c>
      <c r="S16" t="s">
        <v>529</v>
      </c>
    </row>
    <row r="17" spans="9:19">
      <c r="I17" t="s">
        <v>530</v>
      </c>
      <c r="J17" t="s">
        <v>525</v>
      </c>
      <c r="K17" t="s">
        <v>531</v>
      </c>
      <c r="Q17" t="s">
        <v>66</v>
      </c>
      <c r="R17" t="s">
        <v>523</v>
      </c>
      <c r="S17" t="s">
        <v>532</v>
      </c>
    </row>
    <row r="18" spans="9:19">
      <c r="I18" t="s">
        <v>533</v>
      </c>
      <c r="J18" t="s">
        <v>534</v>
      </c>
      <c r="K18" t="s">
        <v>535</v>
      </c>
      <c r="Q18" t="s">
        <v>67</v>
      </c>
      <c r="R18" t="s">
        <v>523</v>
      </c>
      <c r="S18" t="s">
        <v>532</v>
      </c>
    </row>
    <row r="19" spans="9:19">
      <c r="I19" t="s">
        <v>26</v>
      </c>
      <c r="J19" t="s">
        <v>534</v>
      </c>
      <c r="K19" t="s">
        <v>536</v>
      </c>
      <c r="Q19" t="s">
        <v>62</v>
      </c>
      <c r="R19" t="s">
        <v>21</v>
      </c>
      <c r="S19" t="s">
        <v>537</v>
      </c>
    </row>
    <row r="20" spans="9:19">
      <c r="I20" t="s">
        <v>538</v>
      </c>
      <c r="J20" t="s">
        <v>21</v>
      </c>
      <c r="K20" t="s">
        <v>539</v>
      </c>
      <c r="Q20" t="s">
        <v>77</v>
      </c>
      <c r="R20" t="s">
        <v>21</v>
      </c>
      <c r="S20" t="s">
        <v>540</v>
      </c>
    </row>
    <row r="21" spans="9:19">
      <c r="I21" t="s">
        <v>541</v>
      </c>
      <c r="J21" t="s">
        <v>534</v>
      </c>
      <c r="K21" t="s">
        <v>542</v>
      </c>
      <c r="Q21" t="s">
        <v>533</v>
      </c>
      <c r="R21" t="s">
        <v>534</v>
      </c>
      <c r="S21" t="s">
        <v>543</v>
      </c>
    </row>
    <row r="22" spans="9:19">
      <c r="Q22" t="s">
        <v>26</v>
      </c>
      <c r="R22" t="s">
        <v>534</v>
      </c>
      <c r="S22" t="s">
        <v>544</v>
      </c>
    </row>
    <row r="23" spans="9:19">
      <c r="Q23" t="s">
        <v>69</v>
      </c>
      <c r="R23" t="s">
        <v>534</v>
      </c>
      <c r="S23" t="s">
        <v>545</v>
      </c>
    </row>
    <row r="25" spans="9:19">
      <c r="I25" t="s">
        <v>30</v>
      </c>
      <c r="J25" t="s">
        <v>546</v>
      </c>
      <c r="Q25" t="s">
        <v>547</v>
      </c>
      <c r="R25" t="s">
        <v>548</v>
      </c>
    </row>
    <row r="26" spans="9:19">
      <c r="I26" t="s">
        <v>549</v>
      </c>
      <c r="J26" t="s">
        <v>550</v>
      </c>
      <c r="Q26" t="s">
        <v>551</v>
      </c>
      <c r="R26" t="s">
        <v>552</v>
      </c>
    </row>
    <row r="27" spans="9:19">
      <c r="I27" t="s">
        <v>553</v>
      </c>
      <c r="J27" t="s">
        <v>554</v>
      </c>
      <c r="Q27" t="s">
        <v>555</v>
      </c>
      <c r="R27" t="s">
        <v>556</v>
      </c>
    </row>
    <row r="28" spans="9:19">
      <c r="I28" t="s">
        <v>557</v>
      </c>
      <c r="J28" t="s">
        <v>558</v>
      </c>
      <c r="Q28" t="s">
        <v>559</v>
      </c>
      <c r="R28" t="s">
        <v>560</v>
      </c>
    </row>
    <row r="29" spans="9:19">
      <c r="I29" t="s">
        <v>561</v>
      </c>
      <c r="J29" t="s">
        <v>562</v>
      </c>
      <c r="Q29" t="s">
        <v>563</v>
      </c>
      <c r="R29" t="s">
        <v>564</v>
      </c>
    </row>
    <row r="30" spans="9:19">
      <c r="I30" t="s">
        <v>565</v>
      </c>
      <c r="J30" t="s">
        <v>566</v>
      </c>
    </row>
    <row r="35" spans="9:13">
      <c r="I35" t="s">
        <v>567</v>
      </c>
    </row>
    <row r="36" ht="14.25" spans="9:13">
      <c r="I36" s="1" t="s">
        <v>568</v>
      </c>
      <c r="J36">
        <v>10</v>
      </c>
      <c r="K36" s="2" t="s">
        <v>569</v>
      </c>
      <c r="L36" s="2"/>
      <c r="M36" s="2"/>
    </row>
    <row r="37" spans="9:13">
      <c r="I37" t="s">
        <v>570</v>
      </c>
      <c r="J37">
        <v>30</v>
      </c>
    </row>
    <row r="38" spans="9:13">
      <c r="I38" t="s">
        <v>571</v>
      </c>
      <c r="J38">
        <v>55</v>
      </c>
    </row>
    <row r="39" spans="9:13">
      <c r="I39" t="s">
        <v>572</v>
      </c>
      <c r="J39">
        <v>80</v>
      </c>
    </row>
    <row r="40" spans="9:13">
      <c r="I40" t="s">
        <v>573</v>
      </c>
      <c r="J40">
        <v>100</v>
      </c>
    </row>
  </sheetData>
  <mergeCells count="1">
    <mergeCell ref="K36:M3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8:P16"/>
  <sheetViews>
    <sheetView workbookViewId="0">
      <selection activeCell="S35" sqref="S35"/>
    </sheetView>
  </sheetViews>
  <sheetFormatPr defaultColWidth="9" defaultRowHeight="13.5"/>
  <sheetData>
    <row r="8" spans="8:16">
      <c r="O8" t="s">
        <v>574</v>
      </c>
    </row>
    <row r="10" spans="8:16">
      <c r="H10" t="s">
        <v>575</v>
      </c>
      <c r="O10" t="s">
        <v>576</v>
      </c>
    </row>
    <row r="11" spans="8:16">
      <c r="O11" t="s">
        <v>577</v>
      </c>
      <c r="P11" t="s">
        <v>578</v>
      </c>
    </row>
    <row r="12" spans="8:16">
      <c r="H12" t="s">
        <v>577</v>
      </c>
      <c r="I12" t="s">
        <v>360</v>
      </c>
      <c r="J12" t="s">
        <v>579</v>
      </c>
      <c r="K12" t="s">
        <v>403</v>
      </c>
      <c r="O12" t="s">
        <v>580</v>
      </c>
      <c r="P12" t="s">
        <v>581</v>
      </c>
    </row>
    <row r="13" spans="8:16">
      <c r="H13" t="s">
        <v>580</v>
      </c>
      <c r="I13" t="s">
        <v>582</v>
      </c>
      <c r="J13" t="s">
        <v>583</v>
      </c>
      <c r="K13" t="s">
        <v>584</v>
      </c>
      <c r="O13" t="s">
        <v>585</v>
      </c>
      <c r="P13" t="s">
        <v>586</v>
      </c>
    </row>
    <row r="14" spans="8:16">
      <c r="H14" t="s">
        <v>585</v>
      </c>
      <c r="I14" t="s">
        <v>587</v>
      </c>
      <c r="J14" t="s">
        <v>588</v>
      </c>
      <c r="K14" t="s">
        <v>589</v>
      </c>
      <c r="O14" t="s">
        <v>590</v>
      </c>
      <c r="P14" t="s">
        <v>591</v>
      </c>
    </row>
    <row r="15" spans="8:16">
      <c r="H15" t="s">
        <v>590</v>
      </c>
      <c r="I15" t="s">
        <v>592</v>
      </c>
      <c r="J15" t="s">
        <v>420</v>
      </c>
      <c r="K15" t="s">
        <v>593</v>
      </c>
      <c r="O15" t="s">
        <v>594</v>
      </c>
      <c r="P15" t="s">
        <v>595</v>
      </c>
    </row>
    <row r="16" spans="8:16">
      <c r="H16" t="s">
        <v>594</v>
      </c>
      <c r="I16" t="s">
        <v>596</v>
      </c>
      <c r="J16" t="s">
        <v>597</v>
      </c>
      <c r="K16" t="s">
        <v>598</v>
      </c>
      <c r="O16" t="s">
        <v>599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J4:R53"/>
  <sheetViews>
    <sheetView topLeftCell="A22" workbookViewId="0">
      <selection activeCell="T13" sqref="T13"/>
    </sheetView>
  </sheetViews>
  <sheetFormatPr defaultColWidth="9" defaultRowHeight="13.5"/>
  <sheetData>
    <row r="4" spans="10:18">
      <c r="R4" t="s">
        <v>600</v>
      </c>
    </row>
    <row r="5" spans="10:18">
      <c r="J5" t="s">
        <v>601</v>
      </c>
      <c r="R5" t="s">
        <v>602</v>
      </c>
    </row>
    <row r="6" spans="10:18">
      <c r="J6" t="s">
        <v>603</v>
      </c>
      <c r="K6" t="s">
        <v>604</v>
      </c>
      <c r="R6" t="s">
        <v>605</v>
      </c>
    </row>
    <row r="7" spans="10:18">
      <c r="J7" t="s">
        <v>10</v>
      </c>
      <c r="K7" t="s">
        <v>606</v>
      </c>
    </row>
    <row r="8" spans="10:18">
      <c r="J8" t="s">
        <v>11</v>
      </c>
      <c r="K8" t="s">
        <v>607</v>
      </c>
    </row>
    <row r="9" spans="10:18">
      <c r="J9" t="s">
        <v>608</v>
      </c>
      <c r="K9">
        <v>0</v>
      </c>
    </row>
    <row r="17" spans="10:12">
      <c r="J17" t="s">
        <v>609</v>
      </c>
    </row>
    <row r="19" spans="10:12">
      <c r="J19" t="s">
        <v>610</v>
      </c>
    </row>
    <row r="20" spans="10:12">
      <c r="J20" t="s">
        <v>162</v>
      </c>
      <c r="K20" t="s">
        <v>308</v>
      </c>
      <c r="L20" t="s">
        <v>611</v>
      </c>
    </row>
    <row r="21" spans="10:12">
      <c r="J21" t="s">
        <v>191</v>
      </c>
      <c r="K21">
        <v>0.4</v>
      </c>
      <c r="L21">
        <v>0.24</v>
      </c>
    </row>
    <row r="22" spans="10:12">
      <c r="J22" t="s">
        <v>612</v>
      </c>
      <c r="K22">
        <v>0.3</v>
      </c>
      <c r="L22">
        <v>0.18</v>
      </c>
    </row>
    <row r="23" spans="10:12">
      <c r="J23" t="s">
        <v>613</v>
      </c>
      <c r="K23">
        <v>0.2</v>
      </c>
      <c r="L23">
        <v>0.12</v>
      </c>
    </row>
    <row r="24" spans="10:12">
      <c r="J24" t="s">
        <v>614</v>
      </c>
      <c r="K24">
        <v>0.1</v>
      </c>
      <c r="L24">
        <v>0.06</v>
      </c>
    </row>
    <row r="25" spans="10:12">
      <c r="J25" t="s">
        <v>615</v>
      </c>
      <c r="K25">
        <v>1</v>
      </c>
      <c r="L25">
        <v>0.6</v>
      </c>
    </row>
    <row r="26" spans="10:12">
      <c r="J26" t="s">
        <v>616</v>
      </c>
    </row>
    <row r="29" spans="10:12">
      <c r="J29" t="s">
        <v>617</v>
      </c>
    </row>
    <row r="31" spans="10:12">
      <c r="J31" t="s">
        <v>618</v>
      </c>
    </row>
    <row r="32" spans="10:12">
      <c r="J32" t="s">
        <v>162</v>
      </c>
      <c r="K32" t="s">
        <v>308</v>
      </c>
      <c r="L32" t="s">
        <v>611</v>
      </c>
    </row>
    <row r="33" spans="10:12">
      <c r="J33" t="s">
        <v>619</v>
      </c>
      <c r="K33">
        <v>0.4</v>
      </c>
      <c r="L33">
        <v>0.2</v>
      </c>
    </row>
    <row r="34" spans="10:12">
      <c r="J34" t="s">
        <v>56</v>
      </c>
      <c r="K34">
        <v>0.3</v>
      </c>
      <c r="L34">
        <v>0.15</v>
      </c>
    </row>
    <row r="35" spans="10:12">
      <c r="J35" t="s">
        <v>52</v>
      </c>
      <c r="K35">
        <v>0.2</v>
      </c>
      <c r="L35">
        <v>0.1</v>
      </c>
    </row>
    <row r="36" spans="10:12">
      <c r="J36" t="s">
        <v>620</v>
      </c>
      <c r="K36">
        <v>0.1</v>
      </c>
      <c r="L36">
        <v>0.05</v>
      </c>
    </row>
    <row r="37" spans="10:12">
      <c r="J37" t="s">
        <v>615</v>
      </c>
      <c r="K37">
        <v>1</v>
      </c>
      <c r="L37">
        <v>0.5</v>
      </c>
    </row>
    <row r="38" spans="10:12">
      <c r="J38" t="s">
        <v>621</v>
      </c>
    </row>
    <row r="41" spans="10:12">
      <c r="J41" t="s">
        <v>622</v>
      </c>
    </row>
    <row r="43" spans="10:12">
      <c r="J43" t="s">
        <v>623</v>
      </c>
    </row>
    <row r="44" spans="10:12">
      <c r="J44" t="s">
        <v>624</v>
      </c>
    </row>
    <row r="46" spans="10:12">
      <c r="J46" t="s">
        <v>162</v>
      </c>
      <c r="K46" t="s">
        <v>308</v>
      </c>
      <c r="L46" t="s">
        <v>160</v>
      </c>
    </row>
    <row r="47" spans="10:12">
      <c r="J47" t="s">
        <v>625</v>
      </c>
      <c r="K47">
        <v>0.3</v>
      </c>
      <c r="L47" t="s">
        <v>626</v>
      </c>
    </row>
    <row r="48" spans="10:12">
      <c r="J48" t="s">
        <v>627</v>
      </c>
      <c r="K48">
        <v>0.2</v>
      </c>
      <c r="L48" t="s">
        <v>628</v>
      </c>
    </row>
    <row r="49" spans="10:12">
      <c r="J49" t="s">
        <v>629</v>
      </c>
      <c r="K49">
        <v>0.25</v>
      </c>
      <c r="L49" t="s">
        <v>630</v>
      </c>
    </row>
    <row r="50" spans="10:12">
      <c r="J50" t="s">
        <v>35</v>
      </c>
      <c r="K50">
        <v>0.15</v>
      </c>
      <c r="L50" t="s">
        <v>526</v>
      </c>
    </row>
    <row r="51" spans="10:12">
      <c r="J51" t="s">
        <v>25</v>
      </c>
      <c r="K51">
        <v>0.1</v>
      </c>
      <c r="L51" t="s">
        <v>631</v>
      </c>
    </row>
    <row r="52" spans="10:12">
      <c r="J52" t="s">
        <v>39</v>
      </c>
      <c r="K52" t="s">
        <v>632</v>
      </c>
      <c r="L52" t="s">
        <v>633</v>
      </c>
    </row>
    <row r="53" spans="10:12">
      <c r="J53" t="s">
        <v>634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"/>
  <sheetViews>
    <sheetView workbookViewId="0">
      <selection activeCell="A1" sqref="A1:E1"/>
    </sheetView>
  </sheetViews>
  <sheetFormatPr defaultColWidth="9" defaultRowHeight="13.5" outlineLevelCol="1"/>
  <sheetData>
    <row r="1" spans="2:2">
      <c r="B1" t="s">
        <v>635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Sheet1</vt:lpstr>
      <vt:lpstr>属性说明  </vt:lpstr>
      <vt:lpstr>属性</vt:lpstr>
      <vt:lpstr>装备</vt:lpstr>
      <vt:lpstr>流派</vt:lpstr>
      <vt:lpstr>宠物与坐骑</vt:lpstr>
      <vt:lpstr>天赋系统</vt:lpstr>
      <vt:lpstr>属性来源预算比例</vt:lpstr>
      <vt:lpstr>神器与法宝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2026-08-18T10:09:00Z</dcterms:created>
  <dcterms:modified xsi:type="dcterms:W3CDTF">2026-08-21T05:20:43Z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5F5CA8703FC04E41AA88AF2B85347370_11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